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PM3D data\"/>
    </mc:Choice>
  </mc:AlternateContent>
  <xr:revisionPtr revIDLastSave="0" documentId="13_ncr:1_{2E5CF0BD-6C08-473C-B0D4-55F78D25E9FD}" xr6:coauthVersionLast="47" xr6:coauthVersionMax="47" xr10:uidLastSave="{00000000-0000-0000-0000-000000000000}"/>
  <bookViews>
    <workbookView xWindow="-120" yWindow="-120" windowWidth="38640" windowHeight="21120" activeTab="2" xr2:uid="{F7672139-6097-4A8A-A0AC-B64F6AEFBC10}"/>
  </bookViews>
  <sheets>
    <sheet name="ND_T3_upload" sheetId="7" r:id="rId1"/>
    <sheet name="IA_T3_upload" sheetId="2" r:id="rId2"/>
    <sheet name="IL_T3_upload" sheetId="5" r:id="rId3"/>
    <sheet name="IA_raw" sheetId="1" r:id="rId4"/>
    <sheet name="IL" sheetId="3" r:id="rId5"/>
    <sheet name="IL2" sheetId="4" r:id="rId6"/>
    <sheet name="ND" sheetId="6" r:id="rId7"/>
    <sheet name="ND2" sheetId="8" r:id="rId8"/>
    <sheet name="ND3" sheetId="9" r:id="rId9"/>
    <sheet name="Sheet3" sheetId="10" r:id="rId10"/>
    <sheet name="Sheet4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1" l="1"/>
  <c r="B42" i="11"/>
  <c r="B3" i="11"/>
  <c r="B23" i="11"/>
  <c r="B43" i="11"/>
  <c r="B4" i="11"/>
  <c r="B24" i="11"/>
  <c r="B44" i="11"/>
  <c r="B5" i="11"/>
  <c r="B25" i="11"/>
  <c r="B45" i="11"/>
  <c r="B6" i="11"/>
  <c r="B26" i="11"/>
  <c r="B46" i="11"/>
  <c r="B7" i="11"/>
  <c r="B27" i="11"/>
  <c r="B47" i="11"/>
  <c r="B8" i="11"/>
  <c r="B28" i="11"/>
  <c r="B48" i="11"/>
  <c r="B9" i="11"/>
  <c r="B29" i="11"/>
  <c r="B49" i="11"/>
  <c r="B10" i="11"/>
  <c r="B30" i="11"/>
  <c r="B50" i="11"/>
  <c r="B11" i="11"/>
  <c r="B31" i="11"/>
  <c r="B51" i="11"/>
  <c r="B12" i="11"/>
  <c r="B32" i="11"/>
  <c r="B52" i="11"/>
  <c r="B13" i="11"/>
  <c r="B33" i="11"/>
  <c r="B53" i="11"/>
  <c r="B14" i="11"/>
  <c r="B34" i="11"/>
  <c r="B54" i="11"/>
  <c r="B15" i="11"/>
  <c r="B35" i="11"/>
  <c r="B55" i="11"/>
  <c r="B16" i="11"/>
  <c r="B36" i="11"/>
  <c r="B56" i="11"/>
  <c r="B17" i="11"/>
  <c r="B37" i="11"/>
  <c r="B57" i="11"/>
  <c r="B18" i="11"/>
  <c r="B38" i="11"/>
  <c r="B58" i="11"/>
  <c r="B19" i="11"/>
  <c r="B39" i="11"/>
  <c r="B59" i="11"/>
  <c r="B20" i="11"/>
  <c r="B40" i="11"/>
  <c r="B60" i="11"/>
  <c r="B21" i="11"/>
  <c r="B41" i="11"/>
  <c r="B61" i="11"/>
  <c r="B2" i="11"/>
  <c r="AB23" i="6"/>
  <c r="AC23" i="6"/>
  <c r="AD23" i="6"/>
  <c r="AB24" i="6"/>
  <c r="AC24" i="6"/>
  <c r="AD24" i="6"/>
  <c r="AB25" i="6"/>
  <c r="AC25" i="6"/>
  <c r="AD25" i="6"/>
  <c r="AB26" i="6"/>
  <c r="AC26" i="6"/>
  <c r="AD26" i="6"/>
  <c r="AB27" i="6"/>
  <c r="AC27" i="6"/>
  <c r="AD27" i="6"/>
  <c r="AB28" i="6"/>
  <c r="AC28" i="6"/>
  <c r="AD28" i="6"/>
  <c r="AB29" i="6"/>
  <c r="AC29" i="6"/>
  <c r="AD29" i="6"/>
  <c r="AB30" i="6"/>
  <c r="AC30" i="6"/>
  <c r="AD30" i="6"/>
  <c r="AB31" i="6"/>
  <c r="AC31" i="6"/>
  <c r="AD31" i="6"/>
  <c r="AB32" i="6"/>
  <c r="AC32" i="6"/>
  <c r="AD32" i="6"/>
  <c r="AB33" i="6"/>
  <c r="AC33" i="6"/>
  <c r="AD33" i="6"/>
  <c r="AB34" i="6"/>
  <c r="AC34" i="6"/>
  <c r="AD34" i="6"/>
  <c r="AB35" i="6"/>
  <c r="AC35" i="6"/>
  <c r="AD35" i="6"/>
  <c r="AB36" i="6"/>
  <c r="AC36" i="6"/>
  <c r="AD36" i="6"/>
  <c r="AB37" i="6"/>
  <c r="AC37" i="6"/>
  <c r="AD37" i="6"/>
  <c r="AB38" i="6"/>
  <c r="AC38" i="6"/>
  <c r="AD38" i="6"/>
  <c r="AB39" i="6"/>
  <c r="AC39" i="6"/>
  <c r="AD39" i="6"/>
  <c r="AB40" i="6"/>
  <c r="AC40" i="6"/>
  <c r="AD40" i="6"/>
  <c r="AB41" i="6"/>
  <c r="AC41" i="6"/>
  <c r="AD41" i="6"/>
  <c r="AD22" i="6"/>
  <c r="AC22" i="6"/>
  <c r="AB22" i="6"/>
  <c r="AB7" i="6"/>
  <c r="AC7" i="6"/>
  <c r="AD7" i="6"/>
  <c r="AB8" i="6"/>
  <c r="AC8" i="6"/>
  <c r="AD8" i="6"/>
  <c r="AB9" i="6"/>
  <c r="AC9" i="6"/>
  <c r="AD9" i="6"/>
  <c r="AB10" i="6"/>
  <c r="AC10" i="6"/>
  <c r="AD10" i="6"/>
  <c r="AB11" i="6"/>
  <c r="AC11" i="6"/>
  <c r="AD11" i="6"/>
  <c r="AB12" i="6"/>
  <c r="AC12" i="6"/>
  <c r="AD12" i="6"/>
  <c r="AB13" i="6"/>
  <c r="AC13" i="6"/>
  <c r="AD13" i="6"/>
  <c r="AB14" i="6"/>
  <c r="AC14" i="6"/>
  <c r="AD14" i="6"/>
  <c r="AB15" i="6"/>
  <c r="AC15" i="6"/>
  <c r="AD15" i="6"/>
  <c r="AB16" i="6"/>
  <c r="AC16" i="6"/>
  <c r="AD16" i="6"/>
  <c r="AB17" i="6"/>
  <c r="AC17" i="6"/>
  <c r="AD17" i="6"/>
  <c r="AB18" i="6"/>
  <c r="AC18" i="6"/>
  <c r="AD18" i="6"/>
  <c r="AB19" i="6"/>
  <c r="AC19" i="6"/>
  <c r="AD19" i="6"/>
  <c r="AB20" i="6"/>
  <c r="AC20" i="6"/>
  <c r="AD20" i="6"/>
  <c r="AB21" i="6"/>
  <c r="AC21" i="6"/>
  <c r="AD21" i="6"/>
  <c r="AB3" i="6"/>
  <c r="AC3" i="6"/>
  <c r="AD3" i="6"/>
  <c r="AB4" i="6"/>
  <c r="AC4" i="6"/>
  <c r="AD4" i="6"/>
  <c r="AB5" i="6"/>
  <c r="AC5" i="6"/>
  <c r="AD5" i="6"/>
  <c r="AB6" i="6"/>
  <c r="AC6" i="6"/>
  <c r="AD6" i="6"/>
  <c r="AD2" i="6"/>
  <c r="AC2" i="6"/>
  <c r="AB2" i="6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4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2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Q58" i="2"/>
  <c r="P55" i="2"/>
  <c r="Z58" i="1"/>
  <c r="Y55" i="1"/>
  <c r="Q58" i="1"/>
  <c r="P55" i="1"/>
</calcChain>
</file>

<file path=xl/sharedStrings.xml><?xml version="1.0" encoding="utf-8"?>
<sst xmlns="http://schemas.openxmlformats.org/spreadsheetml/2006/main" count="2601" uniqueCount="437">
  <si>
    <t>subplot_name</t>
  </si>
  <si>
    <t>plot_number</t>
  </si>
  <si>
    <t>subplot_number</t>
  </si>
  <si>
    <t>biomass_timepoint</t>
  </si>
  <si>
    <t>biomass_T1</t>
  </si>
  <si>
    <t>biomass_T2</t>
  </si>
  <si>
    <t>biomass_T3</t>
  </si>
  <si>
    <t>Pea Plant Height - cm|timepoint 1|COMP:0000122</t>
  </si>
  <si>
    <t>Plant height - cm|timepoint 1|COMP:0000114</t>
  </si>
  <si>
    <t>Pea Plant Height - cm|timepoint 2</t>
  </si>
  <si>
    <t>Plant height - cm|timepoint 2</t>
  </si>
  <si>
    <t>Pea Plant Height - cm|timepoint 3</t>
  </si>
  <si>
    <t>Plant height - cm|timepoint 3</t>
  </si>
  <si>
    <t>Above ground dry biomass - g</t>
  </si>
  <si>
    <t>Pea Aboveground Dry Biomass - g</t>
  </si>
  <si>
    <t>Weed above ground dry biomass - g|timepoint 1|COMP:0000126</t>
  </si>
  <si>
    <t>B4I_2025_PM3D_IA_20_subplot_1</t>
  </si>
  <si>
    <t>NDP150412G</t>
  </si>
  <si>
    <t>ND Spilde</t>
  </si>
  <si>
    <t>NA</t>
  </si>
  <si>
    <t>B4I_2025_PM3D_IA_20_subplot_2</t>
  </si>
  <si>
    <t>B4I_2025_PM3D_IA_20_subplot_3</t>
  </si>
  <si>
    <t>B4I_2025_PM3D_IA_19_subplot_1</t>
  </si>
  <si>
    <t>ND190393</t>
  </si>
  <si>
    <t>B4I_2025_PM3D_IA_19_subplot_2</t>
  </si>
  <si>
    <t>B4I_2025_PM3D_IA_19_subplot_3</t>
  </si>
  <si>
    <t>B4I_2025_PM3D_IA_18_subplot_1</t>
  </si>
  <si>
    <t>ND Victory</t>
  </si>
  <si>
    <t>ND210038</t>
  </si>
  <si>
    <t>B4I_2025_PM3D_IA_18_subplot_2</t>
  </si>
  <si>
    <t>B4I_2025_PM3D_IA_18_subplot_3</t>
  </si>
  <si>
    <t>B4I_2025_PM3D_IA_17_subplot_1</t>
  </si>
  <si>
    <t>B4I_2025_PM3D_IA_17_subplot_2</t>
  </si>
  <si>
    <t>B4I_2025_PM3D_IA_17_subplot_3</t>
  </si>
  <si>
    <t>B4I_2025_PM3D_IA_16_subplot_1</t>
  </si>
  <si>
    <t>NDP150231Y</t>
  </si>
  <si>
    <t>B4I_2025_PM3D_IA_16_subplot_2</t>
  </si>
  <si>
    <t>B4I_2025_PM3D_IA_16_subplot_3</t>
  </si>
  <si>
    <t>B4I_2025_PM3D_IA_15_subplot_1</t>
  </si>
  <si>
    <t>IL17-1704</t>
  </si>
  <si>
    <t>B4I_2025_PM3D_IA_15_subplot_2</t>
  </si>
  <si>
    <t>B4I_2025_PM3D_IA_15_subplot_3</t>
  </si>
  <si>
    <t>B4I_2025_PM3D_IA_14_subplot_1</t>
  </si>
  <si>
    <t>ND Dawn</t>
  </si>
  <si>
    <t>SD Momentum</t>
  </si>
  <si>
    <t>B4I_2025_PM3D_IA_14_subplot_2</t>
  </si>
  <si>
    <t>B4I_2025_PM3D_IA_14_subplot_3</t>
  </si>
  <si>
    <t>B4I_2025_PM3D_IA_13_subplot_1</t>
  </si>
  <si>
    <t>B4I_2025_PM3D_IA_13_subplot_2</t>
  </si>
  <si>
    <t>B4I_2025_PM3D_IA_13_subplot_3</t>
  </si>
  <si>
    <t>B4I_2025_PM3D_IA_12_subplot_1</t>
  </si>
  <si>
    <t>B4I_2025_PM3D_IA_12_subplot_2</t>
  </si>
  <si>
    <t>B4I_2025_PM3D_IA_12_subplot_3</t>
  </si>
  <si>
    <t>B4I_2025_PM3D_IA_11_subplot_1</t>
  </si>
  <si>
    <t>B4I_2025_PM3D_IA_11_subplot_2</t>
  </si>
  <si>
    <t>B4I_2025_PM3D_IA_11_subplot_3</t>
  </si>
  <si>
    <t>B4I_2025_PM3D_IA_10_subplot_1</t>
  </si>
  <si>
    <t>NDP140510Y</t>
  </si>
  <si>
    <t>B4I_2025_PM3D_IA_10_subplot_2</t>
  </si>
  <si>
    <t>B4I_2025_PM3D_IA_10_subplot_3</t>
  </si>
  <si>
    <t>B4I_2025_PM3D_IA_09_subplot_1</t>
  </si>
  <si>
    <t>B4I_2025_PM3D_IA_09_subplot_2</t>
  </si>
  <si>
    <t>B4I_2025_PM3D_IA_09_subplot_3</t>
  </si>
  <si>
    <t>B4I_2025_PM3D_IA_08_subplot_1</t>
  </si>
  <si>
    <t>B4I_2025_PM3D_IA_08_subplot_2</t>
  </si>
  <si>
    <t>B4I_2025_PM3D_IA_08_subplot_3</t>
  </si>
  <si>
    <t>B4I_2025_PM3D_IA_07_subplot_1</t>
  </si>
  <si>
    <t>B4I_2025_PM3D_IA_07_subplot_2</t>
  </si>
  <si>
    <t>B4I_2025_PM3D_IA_07_subplot_3</t>
  </si>
  <si>
    <t>B4I_2025_PM3D_IA_06_subplot_1</t>
  </si>
  <si>
    <t>B4I_2025_PM3D_IA_06_subplot_2</t>
  </si>
  <si>
    <t>B4I_2025_PM3D_IA_06_subplot_3</t>
  </si>
  <si>
    <t>B4I_2025_PM3D_IA_05_subplot_1</t>
  </si>
  <si>
    <t>B4I_2025_PM3D_IA_05_subplot_2</t>
  </si>
  <si>
    <t>B4I_2025_PM3D_IA_05_subplot_3</t>
  </si>
  <si>
    <t>B4I_2025_PM3D_IA_04_subplot_1</t>
  </si>
  <si>
    <t>B4I_2025_PM3D_IA_04_subplot_2</t>
  </si>
  <si>
    <t>B4I_2025_PM3D_IA_04_subplot_3</t>
  </si>
  <si>
    <t>B4I_2025_PM3D_IA_03_subplot_1</t>
  </si>
  <si>
    <t>B4I_2025_PM3D_IA_03_subplot_2</t>
  </si>
  <si>
    <t>B4I_2025_PM3D_IA_03_subplot_3</t>
  </si>
  <si>
    <t>B4I_2025_PM3D_IA_02_subplot_1</t>
  </si>
  <si>
    <t>B4I_2025_PM3D_IA_02_subplot_2</t>
  </si>
  <si>
    <t>B4I_2025_PM3D_IA_02_subplot_3</t>
  </si>
  <si>
    <t>B4I_2025_PM3D_IA_01_subplot_1</t>
  </si>
  <si>
    <t>B4I_2025_PM3D_IA_01_subplot_2</t>
  </si>
  <si>
    <t>B4I_2025_PM3D_IA_01_subplot_3</t>
  </si>
  <si>
    <t>Weed above ground dry biomass - g</t>
  </si>
  <si>
    <t>Plant establishment - plants/ft2|CO_350:0005124</t>
  </si>
  <si>
    <t>Pea Plant Establishment - plants/ft2|CO_xxx:0003011</t>
  </si>
  <si>
    <t>Plant height - cm|timepoint 2|COMP:0000115</t>
  </si>
  <si>
    <t>Plant height - cm|timepoint 3|COMP:0000116</t>
  </si>
  <si>
    <t>Pea Plant Height - cm|timepoint 2|COMP:0000123</t>
  </si>
  <si>
    <t>Pea Plant Height - cm|timepoint 3|COMP:0000124</t>
  </si>
  <si>
    <t>Above ground dry biomass - g|timepoint 1|COMP:0000110</t>
  </si>
  <si>
    <t>Above ground dry biomass - g|timepoint 2|COMP:0000111</t>
  </si>
  <si>
    <t>Above ground dry biomass - g|timepoint 3|COMP:0000112</t>
  </si>
  <si>
    <t>Pea Aboveground Dry Biomass - g|timepoint 1|COMP:0000118</t>
  </si>
  <si>
    <t>Pea Aboveground Dry Biomass - g|timepoint 2|COMP:0000119</t>
  </si>
  <si>
    <t>Pea Aboveground Dry Biomass - g|timepoint 3|COMP:0000120</t>
  </si>
  <si>
    <t>Weed above ground dry biomass - g|timepoint 2|COMP:0000127</t>
  </si>
  <si>
    <t>Weed above ground dry biomass - g|timepoint 3|COMP:0000128</t>
  </si>
  <si>
    <t>plot_name</t>
  </si>
  <si>
    <t>accession_name</t>
  </si>
  <si>
    <t>intercrop_accession_name</t>
  </si>
  <si>
    <t>Heading date - Julian day|CO_350:0000270</t>
  </si>
  <si>
    <t>Pea Flowering Date - 10% - Julian Day|CO_xxx:0003014</t>
  </si>
  <si>
    <t>B4I_2025_IL_101</t>
  </si>
  <si>
    <t>B4I_2025_IL_102</t>
  </si>
  <si>
    <t>B4I_2025_IL_201</t>
  </si>
  <si>
    <t>B4I_2025_IL_202</t>
  </si>
  <si>
    <t>B4I_2025_IL_301</t>
  </si>
  <si>
    <t>B4I_2025_IL_302</t>
  </si>
  <si>
    <t>B4I_2025_IL_401</t>
  </si>
  <si>
    <t>B4I_2025_IL_402</t>
  </si>
  <si>
    <t>B4I_2025_IL_501</t>
  </si>
  <si>
    <t>B4I_2025_IL_502</t>
  </si>
  <si>
    <t>B4I_2025_IL_601</t>
  </si>
  <si>
    <t>B4I_2025_IL_602</t>
  </si>
  <si>
    <t>B4I_2025_IL_701</t>
  </si>
  <si>
    <t>B4I_2025_IL_702</t>
  </si>
  <si>
    <t>B4I_2025_IL_801</t>
  </si>
  <si>
    <t>B4I_2025_IL_802</t>
  </si>
  <si>
    <t>B4I_2025_IL_901</t>
  </si>
  <si>
    <t>B4I_2025_IL_902</t>
  </si>
  <si>
    <t>B4I_2025_IL_1001</t>
  </si>
  <si>
    <t>B4I_2025_IL_1002</t>
  </si>
  <si>
    <t>B4I_2025_PM3D_IL_101_subplot_1</t>
  </si>
  <si>
    <t>1.101.1</t>
  </si>
  <si>
    <t>B4I_2025_PM3D_IL_102_subplot_1</t>
  </si>
  <si>
    <t>1.102.1</t>
  </si>
  <si>
    <t>B4I_2025_PM3D_IL_201_subplot_2</t>
  </si>
  <si>
    <t>1.201.2</t>
  </si>
  <si>
    <t>B4I_2025_PM3D_IL_202_subplot_1</t>
  </si>
  <si>
    <t>1.202.1</t>
  </si>
  <si>
    <t>B4I_2025_PM3D_IL_301_subplot_2</t>
  </si>
  <si>
    <t>1.301.2</t>
  </si>
  <si>
    <t>B4I_2025_PM3D_IL_302_subplot_2</t>
  </si>
  <si>
    <t>1.302.2</t>
  </si>
  <si>
    <t>B4I_2025_PM3D_IL_401_subplot_2</t>
  </si>
  <si>
    <t>1.401.2</t>
  </si>
  <si>
    <t>B4I_2025_PM3D_IL_402_subplot_2</t>
  </si>
  <si>
    <t>1.402.2</t>
  </si>
  <si>
    <t>B4I_2025_PM3D_IL_501_subplot_2</t>
  </si>
  <si>
    <t>1.501.2</t>
  </si>
  <si>
    <t>B4I_2025_PM3D_IL_502_subplot_1</t>
  </si>
  <si>
    <t>1.502.1</t>
  </si>
  <si>
    <t>B4I_2025_PM3D_IL_601_subplot_1</t>
  </si>
  <si>
    <t>1.601.1</t>
  </si>
  <si>
    <t>B4I_2025_PM3D_IL_602_subplot_1</t>
  </si>
  <si>
    <t>1.602.1</t>
  </si>
  <si>
    <t>B4I_2025_PM3D_IL_701_subplot_3</t>
  </si>
  <si>
    <t>1.701.3</t>
  </si>
  <si>
    <t>B4I_2025_PM3D_IL_702_subplot_3</t>
  </si>
  <si>
    <t>1.702.3</t>
  </si>
  <si>
    <t>B4I_2025_PM3D_IL_801_subplot_2</t>
  </si>
  <si>
    <t>1.801.2</t>
  </si>
  <si>
    <t>B4I_2025_PM3D_IL_802_subplot_1</t>
  </si>
  <si>
    <t>1.802.1</t>
  </si>
  <si>
    <t>B4I_2025_PM3D_IL_901_subplot_1</t>
  </si>
  <si>
    <t>1.901.1</t>
  </si>
  <si>
    <t>B4I_2025_PM3D_IL_902_subplot_2</t>
  </si>
  <si>
    <t>1.902.2</t>
  </si>
  <si>
    <t>B4I_2025_PM3D_IL_1001_subplot_2</t>
  </si>
  <si>
    <t>1.1001.2</t>
  </si>
  <si>
    <t>B4I_2025_PM3D_IL_1002_subplot_3</t>
  </si>
  <si>
    <t>1.1002.3</t>
  </si>
  <si>
    <t>B4I_2025_PM3D_IL_101_subplot_2</t>
  </si>
  <si>
    <t>2.101.2</t>
  </si>
  <si>
    <t>B4I_2025_PM3D_IL_102_subplot_3</t>
  </si>
  <si>
    <t>2.102.3</t>
  </si>
  <si>
    <t>B4I_2025_PM3D_IL_201_subplot_3</t>
  </si>
  <si>
    <t>2.201.3</t>
  </si>
  <si>
    <t>B4I_2025_PM3D_IL_202_subplot_3</t>
  </si>
  <si>
    <t>2.202.3</t>
  </si>
  <si>
    <t>B4I_2025_PM3D_IL_301_subplot_1</t>
  </si>
  <si>
    <t>2.301.1</t>
  </si>
  <si>
    <t>B4I_2025_PM3D_IL_302_subplot_3</t>
  </si>
  <si>
    <t>2.302.3</t>
  </si>
  <si>
    <t>B4I_2025_PM3D_IL_401_subplot_1</t>
  </si>
  <si>
    <t>2.401.1</t>
  </si>
  <si>
    <t>B4I_2025_PM3D_IL_402_subplot_1</t>
  </si>
  <si>
    <t>2.402.1</t>
  </si>
  <si>
    <t>B4I_2025_PM3D_IL_501_subplot_3</t>
  </si>
  <si>
    <t>2.501.3</t>
  </si>
  <si>
    <t>B4I_2025_PM3D_IL_502_subplot_2</t>
  </si>
  <si>
    <t>2.502.2</t>
  </si>
  <si>
    <t>B4I_2025_PM3D_IL_601_subplot_2</t>
  </si>
  <si>
    <t>2.601.2</t>
  </si>
  <si>
    <t>B4I_2025_PM3D_IL_602_subplot_2</t>
  </si>
  <si>
    <t>2.602.2</t>
  </si>
  <si>
    <t>B4I_2025_PM3D_IL_701_subplot_1</t>
  </si>
  <si>
    <t>2.701.1</t>
  </si>
  <si>
    <t>B4I_2025_PM3D_IL_702_subplot_2</t>
  </si>
  <si>
    <t>2.702.2</t>
  </si>
  <si>
    <t>B4I_2025_PM3D_IL_801_subplot_1</t>
  </si>
  <si>
    <t>2.801.1</t>
  </si>
  <si>
    <t>B4I_2025_PM3D_IL_802_subplot_2</t>
  </si>
  <si>
    <t>2.802.2</t>
  </si>
  <si>
    <t>B4I_2025_PM3D_IL_901_subplot_2</t>
  </si>
  <si>
    <t>2.901.2</t>
  </si>
  <si>
    <t>B4I_2025_PM3D_IL_902_subplot_3</t>
  </si>
  <si>
    <t>2.902.3</t>
  </si>
  <si>
    <t>B4I_2025_PM3D_IL_1001_subplot_1</t>
  </si>
  <si>
    <t>2.1001.1</t>
  </si>
  <si>
    <t>B4I_2025_PM3D_IL_1002_subplot_1</t>
  </si>
  <si>
    <t>2.1002.1</t>
  </si>
  <si>
    <t>B4I_2025_PM3D_IL_101_subplot_3</t>
  </si>
  <si>
    <t>3.101.3</t>
  </si>
  <si>
    <t>B4I_2025_PM3D_IL_102_subplot_2</t>
  </si>
  <si>
    <t>3.102.2</t>
  </si>
  <si>
    <t>B4I_2025_PM3D_IL_201_subplot_1</t>
  </si>
  <si>
    <t>3.201.1</t>
  </si>
  <si>
    <t>B4I_2025_PM3D_IL_202_subplot_2</t>
  </si>
  <si>
    <t>3.202.2</t>
  </si>
  <si>
    <t>B4I_2025_PM3D_IL_301_subplot_3</t>
  </si>
  <si>
    <t>3.301.3</t>
  </si>
  <si>
    <t>B4I_2025_PM3D_IL_302_subplot_1</t>
  </si>
  <si>
    <t>3.302.1</t>
  </si>
  <si>
    <t>B4I_2025_PM3D_IL_401_subplot_3</t>
  </si>
  <si>
    <t>3.401.3</t>
  </si>
  <si>
    <t>B4I_2025_PM3D_IL_402_subplot_3</t>
  </si>
  <si>
    <t>3.402.3</t>
  </si>
  <si>
    <t>B4I_2025_PM3D_IL_501_subplot_1</t>
  </si>
  <si>
    <t>3.501.1</t>
  </si>
  <si>
    <t>B4I_2025_PM3D_IL_502_subplot_3</t>
  </si>
  <si>
    <t>3.502.3</t>
  </si>
  <si>
    <t>B4I_2025_PM3D_IL_601_subplot_3</t>
  </si>
  <si>
    <t>3.601.3</t>
  </si>
  <si>
    <t>B4I_2025_PM3D_IL_602_subplot_3</t>
  </si>
  <si>
    <t>3.602.3</t>
  </si>
  <si>
    <t>B4I_2025_PM3D_IL_701_subplot_2</t>
  </si>
  <si>
    <t>3.701.2</t>
  </si>
  <si>
    <t>B4I_2025_PM3D_IL_702_subplot_1</t>
  </si>
  <si>
    <t>3.702.1</t>
  </si>
  <si>
    <t>B4I_2025_PM3D_IL_801_subplot_3</t>
  </si>
  <si>
    <t>3.801.3</t>
  </si>
  <si>
    <t>B4I_2025_PM3D_IL_802_subplot_3</t>
  </si>
  <si>
    <t>3.802.3</t>
  </si>
  <si>
    <t>B4I_2025_PM3D_IL_901_subplot_3</t>
  </si>
  <si>
    <t>3.901.3</t>
  </si>
  <si>
    <t>B4I_2025_PM3D_IL_902_subplot_1</t>
  </si>
  <si>
    <t>3.902.1</t>
  </si>
  <si>
    <t>B4I_2025_PM3D_IL_1001_subplot_3</t>
  </si>
  <si>
    <t>3.1001.3</t>
  </si>
  <si>
    <t>B4I_2025_PM3D_IL_1002_subplot_2</t>
  </si>
  <si>
    <t>3.1002.2</t>
  </si>
  <si>
    <t>observationUnitName</t>
  </si>
  <si>
    <t>observationUnitDbId</t>
  </si>
  <si>
    <t>plot.subplot</t>
  </si>
  <si>
    <t>PM3D Plot ID entered</t>
  </si>
  <si>
    <t>T1</t>
  </si>
  <si>
    <t>T2</t>
  </si>
  <si>
    <t>T3</t>
  </si>
  <si>
    <t>All values are in grams</t>
  </si>
  <si>
    <t>Weeds</t>
  </si>
  <si>
    <t>Oats</t>
  </si>
  <si>
    <t>Peas</t>
  </si>
  <si>
    <t>Subplot</t>
  </si>
  <si>
    <t>B4I_2025_PM3D_ND_01_subplot_2</t>
  </si>
  <si>
    <t>B4I_2025_PM3D_ND_02_subplot_2</t>
  </si>
  <si>
    <t>B4I_2025_PM3D_ND_03_subplot_2</t>
  </si>
  <si>
    <t>B4I_2025_PM3D_ND_04_subplot_3</t>
  </si>
  <si>
    <t>B4I_2025_PM3D_ND_05_subplot_1</t>
  </si>
  <si>
    <t>B4I_2025_PM3D_ND_06_subplot_2</t>
  </si>
  <si>
    <t>B4I_2025_PM3D_ND_07_subplot_3</t>
  </si>
  <si>
    <t>B4I_2025_PM3D_ND_08_subplot_1</t>
  </si>
  <si>
    <t>B4I_2025_PM3D_ND_09_subplot_1</t>
  </si>
  <si>
    <t>B4I_2025_PM3D_ND_10_subplot_3</t>
  </si>
  <si>
    <t>B4I_2025_PM3D_ND_11_subplot_2</t>
  </si>
  <si>
    <t>B4I_2025_PM3D_ND_12_subplot_2</t>
  </si>
  <si>
    <t>B4I_2025_PM3D_ND_13_subplot_2</t>
  </si>
  <si>
    <t>B4I_2025_PM3D_ND_14_subplot_2</t>
  </si>
  <si>
    <t>B4I_2025_PM3D_ND_15_subplot_1</t>
  </si>
  <si>
    <t>B4I_2025_PM3D_ND_16_subplot_2</t>
  </si>
  <si>
    <t>B4I_2025_PM3D_ND_17_subplot_2</t>
  </si>
  <si>
    <t>B4I_2025_PM3D_ND_18_subplot_2</t>
  </si>
  <si>
    <t>B4I_2025_PM3D_ND_19_subplot_2</t>
  </si>
  <si>
    <t>B4I_2025_PM3D_ND_20_subplot_2</t>
  </si>
  <si>
    <t>B4I_2025_PM3D_ND_01_subplot_1</t>
  </si>
  <si>
    <t>B4I_2025_PM3D_ND_02_subplot_3</t>
  </si>
  <si>
    <t>B4I_2025_PM3D_ND_03_subplot_1</t>
  </si>
  <si>
    <t>B4I_2025_PM3D_ND_04_subplot_1</t>
  </si>
  <si>
    <t>B4I_2025_PM3D_ND_05_subplot_3</t>
  </si>
  <si>
    <t>B4I_2025_PM3D_ND_06_subplot_3</t>
  </si>
  <si>
    <t>B4I_2025_PM3D_ND_07_subplot_1</t>
  </si>
  <si>
    <t>B4I_2025_PM3D_ND_08_subplot_2</t>
  </si>
  <si>
    <t>B4I_2025_PM3D_ND_09_subplot_2</t>
  </si>
  <si>
    <t>B4I_2025_PM3D_ND_10_subplot_2</t>
  </si>
  <si>
    <t>B4I_2025_PM3D_ND_11_subplot_1</t>
  </si>
  <si>
    <t>B4I_2025_PM3D_ND_12_subplot_1</t>
  </si>
  <si>
    <t>B4I_2025_PM3D_ND_13_subplot_1</t>
  </si>
  <si>
    <t>B4I_2025_PM3D_ND_14_subplot_1</t>
  </si>
  <si>
    <t>B4I_2025_PM3D_ND_15_subplot_3</t>
  </si>
  <si>
    <t>B4I_2025_PM3D_ND_16_subplot_1</t>
  </si>
  <si>
    <t>B4I_2025_PM3D_ND_17_subplot_3</t>
  </si>
  <si>
    <t>B4I_2025_PM3D_ND_18_subplot_3</t>
  </si>
  <si>
    <t>B4I_2025_PM3D_ND_19_subplot_1</t>
  </si>
  <si>
    <t>B4I_2025_PM3D_ND_20_subplot_1</t>
  </si>
  <si>
    <t>B4I_2025_PM3D_ND_01_subplot_3</t>
  </si>
  <si>
    <t>B4I_2025_PM3D_ND_02_subplot_1</t>
  </si>
  <si>
    <t>B4I_2025_PM3D_ND_03_subplot_3</t>
  </si>
  <si>
    <t>B4I_2025_PM3D_ND_04_subplot_2</t>
  </si>
  <si>
    <t>B4I_2025_PM3D_ND_05_subplot_2</t>
  </si>
  <si>
    <t>B4I_2025_PM3D_ND_06_subplot_1</t>
  </si>
  <si>
    <t>B4I_2025_PM3D_ND_07_subplot_2</t>
  </si>
  <si>
    <t>B4I_2025_PM3D_ND_08_subplot_3</t>
  </si>
  <si>
    <t>B4I_2025_PM3D_ND_09_subplot_3</t>
  </si>
  <si>
    <t>B4I_2025_PM3D_ND_10_subplot_1</t>
  </si>
  <si>
    <t>B4I_2025_PM3D_ND_11_subplot_3</t>
  </si>
  <si>
    <t>B4I_2025_PM3D_ND_12_subplot_3</t>
  </si>
  <si>
    <t>B4I_2025_PM3D_ND_13_subplot_3</t>
  </si>
  <si>
    <t>B4I_2025_PM3D_ND_14_subplot_3</t>
  </si>
  <si>
    <t>B4I_2025_PM3D_ND_15_subplot_2</t>
  </si>
  <si>
    <t>B4I_2025_PM3D_ND_16_subplot_3</t>
  </si>
  <si>
    <t>B4I_2025_PM3D_ND_17_subplot_1</t>
  </si>
  <si>
    <t>B4I_2025_PM3D_ND_18_subplot_1</t>
  </si>
  <si>
    <t>B4I_2025_PM3D_ND_19_subplot_3</t>
  </si>
  <si>
    <t>B4I_2025_PM3D_ND_20_subplot_3</t>
  </si>
  <si>
    <t>observationunit_name</t>
  </si>
  <si>
    <t>Pea Maturity Date - Julian Day|CO_xxx:0003015</t>
  </si>
  <si>
    <t>Maturity date - Julian day|CO_350:0000271</t>
  </si>
  <si>
    <t>Lodging severity - 0-9 Rating|CO_350:0005007</t>
  </si>
  <si>
    <t>B4I_2025_PM3D_ND_01</t>
  </si>
  <si>
    <t>B4I_2025_PM3D_ND_02</t>
  </si>
  <si>
    <t>B4I_2025_PM3D_ND_03</t>
  </si>
  <si>
    <t>B4I_2025_PM3D_ND_04</t>
  </si>
  <si>
    <t>B4I_2025_PM3D_ND_05</t>
  </si>
  <si>
    <t>B4I_2025_PM3D_ND_06</t>
  </si>
  <si>
    <t>B4I_2025_PM3D_ND_07</t>
  </si>
  <si>
    <t>B4I_2025_PM3D_ND_08</t>
  </si>
  <si>
    <t>B4I_2025_PM3D_ND_09</t>
  </si>
  <si>
    <t>B4I_2025_PM3D_ND_10</t>
  </si>
  <si>
    <t>B4I_2025_PM3D_ND_11</t>
  </si>
  <si>
    <t>B4I_2025_PM3D_ND_12</t>
  </si>
  <si>
    <t>B4I_2025_PM3D_ND_13</t>
  </si>
  <si>
    <t>B4I_2025_PM3D_ND_14</t>
  </si>
  <si>
    <t>B4I_2025_PM3D_ND_15</t>
  </si>
  <si>
    <t>B4I_2025_PM3D_ND_16</t>
  </si>
  <si>
    <t>B4I_2025_PM3D_ND_17</t>
  </si>
  <si>
    <t>B4I_2025_PM3D_ND_18</t>
  </si>
  <si>
    <t>B4I_2025_PM3D_ND_19</t>
  </si>
  <si>
    <t>B4I_2025_PM3D_ND_20</t>
  </si>
  <si>
    <t>PLOT</t>
  </si>
  <si>
    <t>RANGE_COOR</t>
  </si>
  <si>
    <t>PASS_COORD</t>
  </si>
  <si>
    <t>PEA_ACCESSION</t>
  </si>
  <si>
    <t>OAT_ACCESSION</t>
  </si>
  <si>
    <t>DATE_PEA_FLOWER</t>
  </si>
  <si>
    <t>PEA_FLOWER_JULIAN</t>
  </si>
  <si>
    <t>DATE_OAT_HEAD</t>
  </si>
  <si>
    <t>OAT_HEAD_JULIAN</t>
  </si>
  <si>
    <t>DATE_PEA_MATURITY</t>
  </si>
  <si>
    <t>PEA_MATURITY_JULIAN</t>
  </si>
  <si>
    <t>DATE_OAT_MATURITY</t>
  </si>
  <si>
    <t>OAT_MATURITY_JULIAN</t>
  </si>
  <si>
    <t>LODGING</t>
  </si>
  <si>
    <t>HARVEST_DATE</t>
  </si>
  <si>
    <t>location</t>
  </si>
  <si>
    <t>plot</t>
  </si>
  <si>
    <t>accession</t>
  </si>
  <si>
    <t>intercrop_accession</t>
  </si>
  <si>
    <t>mix</t>
  </si>
  <si>
    <t>B1</t>
  </si>
  <si>
    <t>ND</t>
  </si>
  <si>
    <t>NO_PEAS_PLANTED</t>
  </si>
  <si>
    <t>mono</t>
  </si>
  <si>
    <t>B2</t>
  </si>
  <si>
    <t>ND VICTORY</t>
  </si>
  <si>
    <t>inter</t>
  </si>
  <si>
    <t>B3</t>
  </si>
  <si>
    <t>NO_OATS_PLANTED</t>
  </si>
  <si>
    <t>B4</t>
  </si>
  <si>
    <t>ND DAWN</t>
  </si>
  <si>
    <t>B5</t>
  </si>
  <si>
    <t>B6</t>
  </si>
  <si>
    <t>B7</t>
  </si>
  <si>
    <t>B8</t>
  </si>
  <si>
    <t>SD MOMENTUM</t>
  </si>
  <si>
    <t>B9</t>
  </si>
  <si>
    <t>B10</t>
  </si>
  <si>
    <t>ND SPILDE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</si>
  <si>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</si>
  <si>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</si>
  <si>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</si>
  <si>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</si>
  <si>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</si>
  <si>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</si>
  <si>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</si>
  <si>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</si>
  <si>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</si>
  <si>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</si>
  <si>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PEA_STAND_SUBPLOT1</t>
  </si>
  <si>
    <t>PEA_STAND_SUBPLOT2</t>
  </si>
  <si>
    <t>PEA_STAND_SUBPLOT3</t>
  </si>
  <si>
    <t>OAT_STAND_SUBPLOT1</t>
  </si>
  <si>
    <t>OAT_STAND_SUBPLOT2</t>
  </si>
  <si>
    <t>OAT_STAND_SUBPLOT3</t>
  </si>
  <si>
    <t>T1_PEA_HEIGHT_SUBPLOT1</t>
  </si>
  <si>
    <t>T1_PEA_HEIGHT_SUBPLOT2</t>
  </si>
  <si>
    <t>T1_PEA_HEIGHT_SUBPLOT3</t>
  </si>
  <si>
    <t>T1_OAT_HEIGHT_SUBPLOT1</t>
  </si>
  <si>
    <t>T1_OAT_HEIGHT_SUBPLOT2</t>
  </si>
  <si>
    <t>T1_OAT_HEIGHT_SUBPLOT3</t>
  </si>
  <si>
    <t>T2_PEA_HEIGHT_SUBPLOT1</t>
  </si>
  <si>
    <t>T2_PEA_HEIGHT_SUBPLOT2</t>
  </si>
  <si>
    <t>T2_PEA_HEIGHT_SUBPLOT3</t>
  </si>
  <si>
    <t>T2_OAT_HEIGHT_SUBPLOT1</t>
  </si>
  <si>
    <t>T2_OAT_HEIGHT_SUBPLOT2</t>
  </si>
  <si>
    <t>T2_OAT_HEIGHT_SUBPLOT3</t>
  </si>
  <si>
    <t>T3_PEA_HEIGHT_SUBPLOT1</t>
  </si>
  <si>
    <t>T3_PEA_HEIGHT_SUBPLOT2</t>
  </si>
  <si>
    <t>T3_PEA_HEIGHT_SUBPLOT3</t>
  </si>
  <si>
    <t>T3_OAT_HEIGHT_SUBPLOT1</t>
  </si>
  <si>
    <t>T3_OAT_HEIGHT_SUBPLOT2</t>
  </si>
  <si>
    <t>T3_OAT_HEIGHT_SUBPLOT3</t>
  </si>
  <si>
    <t>subplot</t>
  </si>
  <si>
    <t>B4I_2025_PM3D_IL_101</t>
  </si>
  <si>
    <t>B4I_2025_PM3D_IL_102</t>
  </si>
  <si>
    <t>B4I_2025_PM3D_IL_201</t>
  </si>
  <si>
    <t>B4I_2025_PM3D_IL_202</t>
  </si>
  <si>
    <t>B4I_2025_PM3D_IL_301</t>
  </si>
  <si>
    <t>B4I_2025_PM3D_IL_302</t>
  </si>
  <si>
    <t>B4I_2025_PM3D_IL_401</t>
  </si>
  <si>
    <t>B4I_2025_PM3D_IL_402</t>
  </si>
  <si>
    <t>B4I_2025_PM3D_IL_501</t>
  </si>
  <si>
    <t>B4I_2025_PM3D_IL_502</t>
  </si>
  <si>
    <t>B4I_2025_PM3D_IL_601</t>
  </si>
  <si>
    <t>B4I_2025_PM3D_IL_602</t>
  </si>
  <si>
    <t>B4I_2025_PM3D_IL_701</t>
  </si>
  <si>
    <t>B4I_2025_PM3D_IL_702</t>
  </si>
  <si>
    <t>B4I_2025_PM3D_IL_801</t>
  </si>
  <si>
    <t>B4I_2025_PM3D_IL_802</t>
  </si>
  <si>
    <t>B4I_2025_PM3D_IL_901</t>
  </si>
  <si>
    <t>B4I_2025_PM3D_IL_902</t>
  </si>
  <si>
    <t>B4I_2025_PM3D_IL_1001</t>
  </si>
  <si>
    <t>B4I_2025_PM3D_IL_1002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</si>
</sst>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9DAF8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7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2" fillId="0" borderId="0" xfId="0" applyFont="1"/>
    <xf numFmtId="3" fontId="12" fillId="0" borderId="0" xfId="0" applyNumberFormat="1" applyFont="1"/>
    <xf numFmtId="0" fontId="12" fillId="2" borderId="0" xfId="0" applyFont="1" applyFill="1" applyAlignment="1">
      <alignment horizontal="left"/>
    </xf>
    <xf numFmtId="4" fontId="12" fillId="0" borderId="0" xfId="0" applyNumberFormat="1" applyFont="1"/>
    <xf numFmtId="14" fontId="12" fillId="0" borderId="0" xfId="0" applyNumberFormat="1" applyFont="1" applyAlignment="1">
      <alignment horizontal="right"/>
    </xf>
    <xf numFmtId="0" fontId="13" fillId="0" borderId="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14" fontId="3" fillId="3" borderId="0" xfId="0" applyNumberFormat="1" applyFont="1" applyFill="1" applyAlignment="1">
      <alignment horizontal="right"/>
    </xf>
    <xf numFmtId="0" fontId="10" fillId="3" borderId="0" xfId="0" applyFont="1" applyFill="1" applyAlignment="1">
      <alignment horizontal="right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923F-035E-450B-A7C8-DE7763495445}">
  <dimension ref="A1:T121"/>
  <sheetViews>
    <sheetView topLeftCell="J1" workbookViewId="0">
      <selection activeCell="Q1" sqref="Q1:T1"/>
    </sheetView>
  </sheetViews>
  <sheetFormatPr defaultRowHeight="15" x14ac:dyDescent="0.25"/>
  <cols>
    <col min="1" max="1" width="30.7109375" customWidth="1"/>
    <col min="2" max="3" width="18.85546875" customWidth="1"/>
    <col min="4" max="4" width="20.28515625" customWidth="1"/>
    <col min="5" max="5" width="15.85546875" customWidth="1"/>
    <col min="6" max="6" width="18.85546875" customWidth="1"/>
    <col min="7" max="7" width="24.42578125" customWidth="1"/>
    <col min="8" max="8" width="49.28515625" bestFit="1" customWidth="1"/>
    <col min="9" max="9" width="39" bestFit="1" customWidth="1"/>
    <col min="10" max="10" width="42.5703125" bestFit="1" customWidth="1"/>
    <col min="11" max="11" width="38.85546875" bestFit="1" customWidth="1"/>
    <col min="12" max="12" width="41.140625" bestFit="1" customWidth="1"/>
  </cols>
  <sheetData>
    <row r="1" spans="1:20" x14ac:dyDescent="0.25">
      <c r="A1" t="s">
        <v>247</v>
      </c>
      <c r="B1" t="s">
        <v>94</v>
      </c>
      <c r="C1" t="s">
        <v>97</v>
      </c>
      <c r="D1" t="s">
        <v>15</v>
      </c>
      <c r="E1" t="s">
        <v>95</v>
      </c>
      <c r="F1" t="s">
        <v>98</v>
      </c>
      <c r="G1" t="s">
        <v>100</v>
      </c>
      <c r="H1" t="s">
        <v>106</v>
      </c>
      <c r="I1" t="s">
        <v>105</v>
      </c>
      <c r="J1" t="s">
        <v>320</v>
      </c>
      <c r="K1" t="s">
        <v>321</v>
      </c>
      <c r="L1" t="s">
        <v>322</v>
      </c>
      <c r="M1" t="s">
        <v>89</v>
      </c>
      <c r="N1" t="s">
        <v>88</v>
      </c>
      <c r="O1" t="s">
        <v>7</v>
      </c>
      <c r="P1" t="s">
        <v>8</v>
      </c>
      <c r="Q1" t="s">
        <v>92</v>
      </c>
      <c r="R1" t="s">
        <v>90</v>
      </c>
      <c r="S1" t="s">
        <v>93</v>
      </c>
      <c r="T1" t="s">
        <v>91</v>
      </c>
    </row>
    <row r="2" spans="1:20" x14ac:dyDescent="0.25">
      <c r="A2" t="s">
        <v>259</v>
      </c>
      <c r="B2">
        <v>31.5</v>
      </c>
      <c r="C2">
        <v>0</v>
      </c>
      <c r="D2">
        <v>1.5</v>
      </c>
    </row>
    <row r="3" spans="1:20" x14ac:dyDescent="0.25">
      <c r="A3" t="s">
        <v>260</v>
      </c>
      <c r="B3">
        <v>12</v>
      </c>
      <c r="C3">
        <v>6</v>
      </c>
      <c r="D3">
        <v>2.1</v>
      </c>
    </row>
    <row r="4" spans="1:20" x14ac:dyDescent="0.25">
      <c r="A4" t="s">
        <v>261</v>
      </c>
      <c r="B4">
        <v>0</v>
      </c>
      <c r="C4">
        <v>23</v>
      </c>
      <c r="D4">
        <v>3.6</v>
      </c>
    </row>
    <row r="5" spans="1:20" x14ac:dyDescent="0.25">
      <c r="A5" t="s">
        <v>262</v>
      </c>
      <c r="B5">
        <v>17</v>
      </c>
      <c r="C5">
        <v>11.5</v>
      </c>
      <c r="D5">
        <v>2.81</v>
      </c>
    </row>
    <row r="6" spans="1:20" x14ac:dyDescent="0.25">
      <c r="A6" t="s">
        <v>263</v>
      </c>
      <c r="B6">
        <v>32.5</v>
      </c>
      <c r="C6">
        <v>0</v>
      </c>
      <c r="D6">
        <v>1.64</v>
      </c>
    </row>
    <row r="7" spans="1:20" x14ac:dyDescent="0.25">
      <c r="A7" t="s">
        <v>264</v>
      </c>
      <c r="B7">
        <v>24.5</v>
      </c>
      <c r="C7">
        <v>20.5</v>
      </c>
      <c r="D7">
        <v>1.0900000000000001</v>
      </c>
    </row>
    <row r="8" spans="1:20" x14ac:dyDescent="0.25">
      <c r="A8" t="s">
        <v>265</v>
      </c>
      <c r="B8">
        <v>0</v>
      </c>
      <c r="C8">
        <v>21.5</v>
      </c>
      <c r="D8">
        <v>0.3</v>
      </c>
    </row>
    <row r="9" spans="1:20" x14ac:dyDescent="0.25">
      <c r="A9" t="s">
        <v>266</v>
      </c>
      <c r="B9">
        <v>21</v>
      </c>
      <c r="C9">
        <v>14.5</v>
      </c>
      <c r="D9">
        <v>0.5</v>
      </c>
    </row>
    <row r="10" spans="1:20" x14ac:dyDescent="0.25">
      <c r="A10" t="s">
        <v>267</v>
      </c>
      <c r="B10">
        <v>0</v>
      </c>
      <c r="C10">
        <v>0</v>
      </c>
      <c r="D10">
        <v>0.5</v>
      </c>
    </row>
    <row r="11" spans="1:20" x14ac:dyDescent="0.25">
      <c r="A11" t="s">
        <v>268</v>
      </c>
      <c r="B11">
        <v>11.5</v>
      </c>
      <c r="C11">
        <v>16</v>
      </c>
      <c r="D11">
        <v>0</v>
      </c>
    </row>
    <row r="12" spans="1:20" x14ac:dyDescent="0.25">
      <c r="A12" t="s">
        <v>269</v>
      </c>
      <c r="B12">
        <v>67.5</v>
      </c>
      <c r="C12">
        <v>0</v>
      </c>
      <c r="D12">
        <v>1.39</v>
      </c>
    </row>
    <row r="13" spans="1:20" x14ac:dyDescent="0.25">
      <c r="A13" t="s">
        <v>270</v>
      </c>
      <c r="B13">
        <v>25.5</v>
      </c>
      <c r="C13">
        <v>13.5</v>
      </c>
      <c r="D13">
        <v>5.83</v>
      </c>
    </row>
    <row r="14" spans="1:20" x14ac:dyDescent="0.25">
      <c r="A14" t="s">
        <v>271</v>
      </c>
      <c r="B14">
        <v>0</v>
      </c>
      <c r="C14">
        <v>22</v>
      </c>
      <c r="D14">
        <v>14.67</v>
      </c>
    </row>
    <row r="15" spans="1:20" x14ac:dyDescent="0.25">
      <c r="A15" t="s">
        <v>272</v>
      </c>
      <c r="B15">
        <v>31.5</v>
      </c>
      <c r="C15">
        <v>19</v>
      </c>
      <c r="D15">
        <v>0.96</v>
      </c>
    </row>
    <row r="16" spans="1:20" x14ac:dyDescent="0.25">
      <c r="A16" t="s">
        <v>273</v>
      </c>
      <c r="B16">
        <v>37</v>
      </c>
      <c r="C16">
        <v>0</v>
      </c>
      <c r="D16">
        <v>0.5</v>
      </c>
    </row>
    <row r="17" spans="1:7" x14ac:dyDescent="0.25">
      <c r="A17" t="s">
        <v>274</v>
      </c>
      <c r="B17">
        <v>17.5</v>
      </c>
      <c r="C17">
        <v>17</v>
      </c>
      <c r="D17">
        <v>1</v>
      </c>
    </row>
    <row r="18" spans="1:7" x14ac:dyDescent="0.25">
      <c r="A18" t="s">
        <v>275</v>
      </c>
      <c r="B18">
        <v>0</v>
      </c>
      <c r="C18">
        <v>29</v>
      </c>
      <c r="D18">
        <v>5.9</v>
      </c>
    </row>
    <row r="19" spans="1:7" x14ac:dyDescent="0.25">
      <c r="A19" t="s">
        <v>276</v>
      </c>
      <c r="B19">
        <v>12</v>
      </c>
      <c r="C19">
        <v>15</v>
      </c>
      <c r="D19">
        <v>5.5</v>
      </c>
    </row>
    <row r="20" spans="1:7" x14ac:dyDescent="0.25">
      <c r="A20" t="s">
        <v>277</v>
      </c>
      <c r="B20">
        <v>0</v>
      </c>
      <c r="C20">
        <v>24.5</v>
      </c>
      <c r="D20">
        <v>14.84</v>
      </c>
    </row>
    <row r="21" spans="1:7" x14ac:dyDescent="0.25">
      <c r="A21" t="s">
        <v>278</v>
      </c>
      <c r="B21">
        <v>24</v>
      </c>
      <c r="C21">
        <v>8</v>
      </c>
      <c r="D21">
        <v>9.7799999999999994</v>
      </c>
    </row>
    <row r="22" spans="1:7" x14ac:dyDescent="0.25">
      <c r="A22" t="s">
        <v>279</v>
      </c>
      <c r="E22">
        <v>326.5</v>
      </c>
      <c r="F22">
        <v>0</v>
      </c>
      <c r="G22">
        <v>4</v>
      </c>
    </row>
    <row r="23" spans="1:7" x14ac:dyDescent="0.25">
      <c r="A23" t="s">
        <v>280</v>
      </c>
      <c r="E23">
        <v>141.5</v>
      </c>
      <c r="F23">
        <v>61.5</v>
      </c>
      <c r="G23">
        <v>72</v>
      </c>
    </row>
    <row r="24" spans="1:7" x14ac:dyDescent="0.25">
      <c r="A24" t="s">
        <v>281</v>
      </c>
      <c r="E24">
        <v>0</v>
      </c>
      <c r="F24">
        <v>132</v>
      </c>
      <c r="G24">
        <v>43</v>
      </c>
    </row>
    <row r="25" spans="1:7" x14ac:dyDescent="0.25">
      <c r="A25" t="s">
        <v>282</v>
      </c>
      <c r="E25">
        <v>198.5</v>
      </c>
      <c r="F25">
        <v>48.5</v>
      </c>
      <c r="G25">
        <v>93.5</v>
      </c>
    </row>
    <row r="26" spans="1:7" x14ac:dyDescent="0.25">
      <c r="A26" t="s">
        <v>283</v>
      </c>
      <c r="E26">
        <v>258</v>
      </c>
      <c r="F26">
        <v>0</v>
      </c>
      <c r="G26">
        <v>73</v>
      </c>
    </row>
    <row r="27" spans="1:7" x14ac:dyDescent="0.25">
      <c r="A27" t="s">
        <v>284</v>
      </c>
      <c r="E27">
        <v>290.5</v>
      </c>
      <c r="F27">
        <v>43.5</v>
      </c>
      <c r="G27">
        <v>15.5</v>
      </c>
    </row>
    <row r="28" spans="1:7" x14ac:dyDescent="0.25">
      <c r="A28" t="s">
        <v>285</v>
      </c>
      <c r="E28">
        <v>0</v>
      </c>
      <c r="F28">
        <v>167.5</v>
      </c>
      <c r="G28">
        <v>39</v>
      </c>
    </row>
    <row r="29" spans="1:7" x14ac:dyDescent="0.25">
      <c r="A29" t="s">
        <v>286</v>
      </c>
      <c r="E29">
        <v>261.5</v>
      </c>
      <c r="F29">
        <v>97.5</v>
      </c>
      <c r="G29">
        <v>0</v>
      </c>
    </row>
    <row r="30" spans="1:7" x14ac:dyDescent="0.25">
      <c r="A30" t="s">
        <v>287</v>
      </c>
      <c r="E30">
        <v>381</v>
      </c>
      <c r="F30">
        <v>0</v>
      </c>
      <c r="G30">
        <v>0</v>
      </c>
    </row>
    <row r="31" spans="1:7" x14ac:dyDescent="0.25">
      <c r="A31" t="s">
        <v>288</v>
      </c>
      <c r="E31">
        <v>235.5</v>
      </c>
      <c r="F31">
        <v>82.5</v>
      </c>
      <c r="G31">
        <v>0</v>
      </c>
    </row>
    <row r="32" spans="1:7" x14ac:dyDescent="0.25">
      <c r="A32" t="s">
        <v>289</v>
      </c>
      <c r="E32">
        <v>323.5</v>
      </c>
      <c r="F32">
        <v>0</v>
      </c>
      <c r="G32">
        <v>8</v>
      </c>
    </row>
    <row r="33" spans="1:12" x14ac:dyDescent="0.25">
      <c r="A33" t="s">
        <v>290</v>
      </c>
      <c r="E33">
        <v>289.5</v>
      </c>
      <c r="F33">
        <v>46.5</v>
      </c>
      <c r="G33">
        <v>12.5</v>
      </c>
    </row>
    <row r="34" spans="1:12" x14ac:dyDescent="0.25">
      <c r="A34" t="s">
        <v>291</v>
      </c>
      <c r="E34">
        <v>0</v>
      </c>
      <c r="F34">
        <v>199</v>
      </c>
      <c r="G34">
        <v>37.5</v>
      </c>
    </row>
    <row r="35" spans="1:12" x14ac:dyDescent="0.25">
      <c r="A35" t="s">
        <v>292</v>
      </c>
      <c r="E35">
        <v>163.5</v>
      </c>
      <c r="F35">
        <v>152.5</v>
      </c>
      <c r="G35">
        <v>11.5</v>
      </c>
    </row>
    <row r="36" spans="1:12" x14ac:dyDescent="0.25">
      <c r="A36" t="s">
        <v>293</v>
      </c>
      <c r="E36">
        <v>347.5</v>
      </c>
      <c r="F36">
        <v>0</v>
      </c>
      <c r="G36">
        <v>0</v>
      </c>
    </row>
    <row r="37" spans="1:12" x14ac:dyDescent="0.25">
      <c r="A37" t="s">
        <v>294</v>
      </c>
      <c r="E37">
        <v>257.5</v>
      </c>
      <c r="F37">
        <v>64</v>
      </c>
      <c r="G37">
        <v>3.5</v>
      </c>
    </row>
    <row r="38" spans="1:12" x14ac:dyDescent="0.25">
      <c r="A38" t="s">
        <v>295</v>
      </c>
      <c r="E38">
        <v>0</v>
      </c>
      <c r="F38">
        <v>246.5</v>
      </c>
      <c r="G38">
        <v>26.5</v>
      </c>
    </row>
    <row r="39" spans="1:12" x14ac:dyDescent="0.25">
      <c r="A39" t="s">
        <v>296</v>
      </c>
      <c r="E39">
        <v>231.5</v>
      </c>
      <c r="F39">
        <v>117</v>
      </c>
      <c r="G39">
        <v>7.5</v>
      </c>
    </row>
    <row r="40" spans="1:12" x14ac:dyDescent="0.25">
      <c r="A40" t="s">
        <v>297</v>
      </c>
      <c r="E40">
        <v>0</v>
      </c>
      <c r="F40">
        <v>210</v>
      </c>
      <c r="G40">
        <v>57</v>
      </c>
    </row>
    <row r="41" spans="1:12" x14ac:dyDescent="0.25">
      <c r="A41" t="s">
        <v>298</v>
      </c>
      <c r="E41">
        <v>315</v>
      </c>
      <c r="F41">
        <v>77.5</v>
      </c>
      <c r="G41">
        <v>25</v>
      </c>
    </row>
    <row r="42" spans="1:12" x14ac:dyDescent="0.25">
      <c r="A42" t="s">
        <v>323</v>
      </c>
      <c r="I42">
        <v>184</v>
      </c>
      <c r="K42">
        <v>218</v>
      </c>
      <c r="L42">
        <v>0</v>
      </c>
    </row>
    <row r="43" spans="1:12" x14ac:dyDescent="0.25">
      <c r="A43" t="s">
        <v>324</v>
      </c>
      <c r="H43">
        <v>183</v>
      </c>
      <c r="I43">
        <v>179</v>
      </c>
      <c r="J43">
        <v>215</v>
      </c>
      <c r="K43">
        <v>216</v>
      </c>
      <c r="L43">
        <v>1</v>
      </c>
    </row>
    <row r="44" spans="1:12" x14ac:dyDescent="0.25">
      <c r="A44" t="s">
        <v>325</v>
      </c>
      <c r="H44">
        <v>181</v>
      </c>
      <c r="J44">
        <v>213</v>
      </c>
      <c r="L44">
        <v>8</v>
      </c>
    </row>
    <row r="45" spans="1:12" x14ac:dyDescent="0.25">
      <c r="A45" t="s">
        <v>326</v>
      </c>
      <c r="H45">
        <v>181</v>
      </c>
      <c r="I45">
        <v>181</v>
      </c>
      <c r="J45">
        <v>211</v>
      </c>
      <c r="K45">
        <v>218</v>
      </c>
      <c r="L45">
        <v>1</v>
      </c>
    </row>
    <row r="46" spans="1:12" x14ac:dyDescent="0.25">
      <c r="A46" t="s">
        <v>327</v>
      </c>
      <c r="I46">
        <v>178</v>
      </c>
      <c r="K46">
        <v>216</v>
      </c>
      <c r="L46">
        <v>0</v>
      </c>
    </row>
    <row r="47" spans="1:12" x14ac:dyDescent="0.25">
      <c r="A47" t="s">
        <v>328</v>
      </c>
      <c r="H47">
        <v>184</v>
      </c>
      <c r="I47">
        <v>183</v>
      </c>
      <c r="J47">
        <v>214</v>
      </c>
      <c r="K47">
        <v>217</v>
      </c>
      <c r="L47">
        <v>1</v>
      </c>
    </row>
    <row r="48" spans="1:12" x14ac:dyDescent="0.25">
      <c r="A48" t="s">
        <v>329</v>
      </c>
      <c r="H48">
        <v>181</v>
      </c>
      <c r="J48">
        <v>215</v>
      </c>
      <c r="L48">
        <v>7</v>
      </c>
    </row>
    <row r="49" spans="1:20" x14ac:dyDescent="0.25">
      <c r="A49" t="s">
        <v>330</v>
      </c>
      <c r="H49">
        <v>182</v>
      </c>
      <c r="I49">
        <v>185</v>
      </c>
      <c r="J49">
        <v>216</v>
      </c>
      <c r="K49">
        <v>218</v>
      </c>
      <c r="L49">
        <v>1</v>
      </c>
    </row>
    <row r="50" spans="1:20" x14ac:dyDescent="0.25">
      <c r="A50" t="s">
        <v>331</v>
      </c>
      <c r="I50">
        <v>181</v>
      </c>
      <c r="K50">
        <v>214</v>
      </c>
      <c r="L50">
        <v>0</v>
      </c>
    </row>
    <row r="51" spans="1:20" x14ac:dyDescent="0.25">
      <c r="A51" t="s">
        <v>332</v>
      </c>
      <c r="H51">
        <v>182</v>
      </c>
      <c r="I51">
        <v>182</v>
      </c>
      <c r="J51">
        <v>216</v>
      </c>
      <c r="K51">
        <v>218</v>
      </c>
      <c r="L51">
        <v>1</v>
      </c>
    </row>
    <row r="52" spans="1:20" x14ac:dyDescent="0.25">
      <c r="A52" t="s">
        <v>333</v>
      </c>
      <c r="I52">
        <v>183</v>
      </c>
      <c r="K52">
        <v>216</v>
      </c>
      <c r="L52">
        <v>0</v>
      </c>
    </row>
    <row r="53" spans="1:20" x14ac:dyDescent="0.25">
      <c r="A53" t="s">
        <v>334</v>
      </c>
      <c r="H53">
        <v>181</v>
      </c>
      <c r="I53">
        <v>185</v>
      </c>
      <c r="J53">
        <v>214</v>
      </c>
      <c r="K53">
        <v>217</v>
      </c>
      <c r="L53">
        <v>1</v>
      </c>
    </row>
    <row r="54" spans="1:20" x14ac:dyDescent="0.25">
      <c r="A54" t="s">
        <v>335</v>
      </c>
      <c r="H54">
        <v>185</v>
      </c>
      <c r="J54">
        <v>219</v>
      </c>
      <c r="L54">
        <v>6</v>
      </c>
    </row>
    <row r="55" spans="1:20" x14ac:dyDescent="0.25">
      <c r="A55" t="s">
        <v>336</v>
      </c>
      <c r="H55">
        <v>185</v>
      </c>
      <c r="I55">
        <v>180</v>
      </c>
      <c r="J55">
        <v>217</v>
      </c>
      <c r="K55">
        <v>216</v>
      </c>
      <c r="L55">
        <v>2</v>
      </c>
    </row>
    <row r="56" spans="1:20" x14ac:dyDescent="0.25">
      <c r="A56" t="s">
        <v>337</v>
      </c>
      <c r="I56">
        <v>184</v>
      </c>
      <c r="K56">
        <v>217</v>
      </c>
      <c r="L56">
        <v>0</v>
      </c>
    </row>
    <row r="57" spans="1:20" x14ac:dyDescent="0.25">
      <c r="A57" t="s">
        <v>338</v>
      </c>
      <c r="H57">
        <v>181</v>
      </c>
      <c r="I57">
        <v>185</v>
      </c>
      <c r="J57">
        <v>214</v>
      </c>
      <c r="K57">
        <v>218</v>
      </c>
      <c r="L57">
        <v>1</v>
      </c>
    </row>
    <row r="58" spans="1:20" x14ac:dyDescent="0.25">
      <c r="A58" t="s">
        <v>339</v>
      </c>
      <c r="H58">
        <v>183</v>
      </c>
      <c r="J58">
        <v>217</v>
      </c>
      <c r="L58">
        <v>8</v>
      </c>
    </row>
    <row r="59" spans="1:20" x14ac:dyDescent="0.25">
      <c r="A59" t="s">
        <v>340</v>
      </c>
      <c r="H59">
        <v>181</v>
      </c>
      <c r="I59">
        <v>182</v>
      </c>
      <c r="J59">
        <v>214</v>
      </c>
      <c r="K59">
        <v>216</v>
      </c>
      <c r="L59">
        <v>1</v>
      </c>
    </row>
    <row r="60" spans="1:20" x14ac:dyDescent="0.25">
      <c r="A60" t="s">
        <v>341</v>
      </c>
      <c r="H60">
        <v>182</v>
      </c>
      <c r="J60">
        <v>218</v>
      </c>
      <c r="L60">
        <v>6</v>
      </c>
    </row>
    <row r="61" spans="1:20" x14ac:dyDescent="0.25">
      <c r="A61" t="s">
        <v>342</v>
      </c>
      <c r="H61">
        <v>185</v>
      </c>
      <c r="I61">
        <v>186</v>
      </c>
      <c r="J61">
        <v>219</v>
      </c>
      <c r="K61">
        <v>219</v>
      </c>
      <c r="L61">
        <v>1</v>
      </c>
    </row>
    <row r="62" spans="1:20" x14ac:dyDescent="0.25">
      <c r="A62" t="s">
        <v>279</v>
      </c>
      <c r="M62">
        <v>0</v>
      </c>
      <c r="N62">
        <v>31</v>
      </c>
      <c r="O62">
        <v>0</v>
      </c>
      <c r="P62">
        <v>32</v>
      </c>
      <c r="Q62">
        <v>0</v>
      </c>
      <c r="R62">
        <v>83</v>
      </c>
      <c r="S62">
        <v>0</v>
      </c>
      <c r="T62">
        <v>92</v>
      </c>
    </row>
    <row r="63" spans="1:20" x14ac:dyDescent="0.25">
      <c r="A63" t="s">
        <v>300</v>
      </c>
      <c r="M63">
        <v>6</v>
      </c>
      <c r="N63">
        <v>16</v>
      </c>
      <c r="O63">
        <v>22</v>
      </c>
      <c r="P63">
        <v>28</v>
      </c>
      <c r="Q63">
        <v>63</v>
      </c>
      <c r="R63">
        <v>73</v>
      </c>
      <c r="S63">
        <v>64</v>
      </c>
      <c r="T63">
        <v>80</v>
      </c>
    </row>
    <row r="64" spans="1:20" x14ac:dyDescent="0.25">
      <c r="A64" t="s">
        <v>281</v>
      </c>
      <c r="M64">
        <v>8</v>
      </c>
      <c r="N64">
        <v>0</v>
      </c>
      <c r="O64">
        <v>15</v>
      </c>
      <c r="P64">
        <v>0</v>
      </c>
      <c r="Q64">
        <v>56</v>
      </c>
      <c r="R64">
        <v>0</v>
      </c>
      <c r="S64">
        <v>46</v>
      </c>
      <c r="T64">
        <v>0</v>
      </c>
    </row>
    <row r="65" spans="1:20" x14ac:dyDescent="0.25">
      <c r="A65" t="s">
        <v>282</v>
      </c>
      <c r="M65">
        <v>2</v>
      </c>
      <c r="N65">
        <v>13</v>
      </c>
      <c r="O65">
        <v>22</v>
      </c>
      <c r="P65">
        <v>24</v>
      </c>
      <c r="Q65">
        <v>55</v>
      </c>
      <c r="R65">
        <v>80</v>
      </c>
      <c r="S65">
        <v>44</v>
      </c>
      <c r="T65">
        <v>85</v>
      </c>
    </row>
    <row r="66" spans="1:20" x14ac:dyDescent="0.25">
      <c r="A66" t="s">
        <v>263</v>
      </c>
      <c r="M66">
        <v>0</v>
      </c>
      <c r="N66">
        <v>30</v>
      </c>
      <c r="O66">
        <v>0</v>
      </c>
      <c r="P66">
        <v>26</v>
      </c>
      <c r="Q66">
        <v>0</v>
      </c>
      <c r="R66">
        <v>72</v>
      </c>
      <c r="S66">
        <v>0</v>
      </c>
      <c r="T66">
        <v>75</v>
      </c>
    </row>
    <row r="67" spans="1:20" x14ac:dyDescent="0.25">
      <c r="A67" t="s">
        <v>304</v>
      </c>
      <c r="M67">
        <v>9</v>
      </c>
      <c r="N67">
        <v>9</v>
      </c>
      <c r="O67">
        <v>18</v>
      </c>
      <c r="P67">
        <v>22</v>
      </c>
      <c r="Q67">
        <v>57</v>
      </c>
      <c r="R67">
        <v>80</v>
      </c>
      <c r="S67">
        <v>56</v>
      </c>
      <c r="T67">
        <v>95</v>
      </c>
    </row>
    <row r="68" spans="1:20" x14ac:dyDescent="0.25">
      <c r="A68" t="s">
        <v>285</v>
      </c>
      <c r="M68">
        <v>15</v>
      </c>
      <c r="N68">
        <v>0</v>
      </c>
      <c r="O68">
        <v>19</v>
      </c>
      <c r="P68">
        <v>0</v>
      </c>
      <c r="Q68">
        <v>62</v>
      </c>
      <c r="R68">
        <v>0</v>
      </c>
      <c r="S68">
        <v>60</v>
      </c>
      <c r="T68">
        <v>0</v>
      </c>
    </row>
    <row r="69" spans="1:20" x14ac:dyDescent="0.25">
      <c r="A69" t="s">
        <v>266</v>
      </c>
      <c r="M69">
        <v>5</v>
      </c>
      <c r="N69">
        <v>10</v>
      </c>
      <c r="O69">
        <v>19</v>
      </c>
      <c r="P69">
        <v>28</v>
      </c>
      <c r="Q69">
        <v>66</v>
      </c>
      <c r="R69">
        <v>90</v>
      </c>
      <c r="S69">
        <v>63</v>
      </c>
      <c r="T69">
        <v>109</v>
      </c>
    </row>
    <row r="70" spans="1:20" x14ac:dyDescent="0.25">
      <c r="A70" t="s">
        <v>267</v>
      </c>
      <c r="M70">
        <v>0</v>
      </c>
      <c r="N70">
        <v>31</v>
      </c>
      <c r="O70">
        <v>0</v>
      </c>
      <c r="P70">
        <v>32</v>
      </c>
      <c r="Q70">
        <v>0</v>
      </c>
      <c r="R70">
        <v>89</v>
      </c>
      <c r="S70">
        <v>0</v>
      </c>
      <c r="T70">
        <v>90</v>
      </c>
    </row>
    <row r="71" spans="1:20" x14ac:dyDescent="0.25">
      <c r="A71" t="s">
        <v>308</v>
      </c>
      <c r="M71">
        <v>7</v>
      </c>
      <c r="N71">
        <v>14</v>
      </c>
      <c r="O71">
        <v>19</v>
      </c>
      <c r="P71">
        <v>30</v>
      </c>
      <c r="Q71">
        <v>62</v>
      </c>
      <c r="R71">
        <v>85</v>
      </c>
      <c r="S71">
        <v>64</v>
      </c>
      <c r="T71">
        <v>91</v>
      </c>
    </row>
    <row r="72" spans="1:20" x14ac:dyDescent="0.25">
      <c r="A72" t="s">
        <v>289</v>
      </c>
      <c r="M72">
        <v>0</v>
      </c>
      <c r="N72">
        <v>27</v>
      </c>
      <c r="O72">
        <v>0</v>
      </c>
      <c r="P72">
        <v>35</v>
      </c>
      <c r="Q72">
        <v>0</v>
      </c>
      <c r="R72">
        <v>100</v>
      </c>
      <c r="S72">
        <v>0</v>
      </c>
      <c r="T72">
        <v>110</v>
      </c>
    </row>
    <row r="73" spans="1:20" x14ac:dyDescent="0.25">
      <c r="A73" t="s">
        <v>290</v>
      </c>
      <c r="M73">
        <v>6</v>
      </c>
      <c r="N73">
        <v>15</v>
      </c>
      <c r="O73">
        <v>24</v>
      </c>
      <c r="P73">
        <v>30</v>
      </c>
      <c r="Q73">
        <v>67</v>
      </c>
      <c r="R73">
        <v>90</v>
      </c>
      <c r="S73">
        <v>73</v>
      </c>
      <c r="T73">
        <v>95</v>
      </c>
    </row>
    <row r="74" spans="1:20" x14ac:dyDescent="0.25">
      <c r="A74" t="s">
        <v>291</v>
      </c>
      <c r="M74">
        <v>11</v>
      </c>
      <c r="N74">
        <v>0</v>
      </c>
      <c r="O74">
        <v>21</v>
      </c>
      <c r="P74">
        <v>0</v>
      </c>
      <c r="Q74">
        <v>80</v>
      </c>
      <c r="R74">
        <v>0</v>
      </c>
      <c r="S74">
        <v>90</v>
      </c>
      <c r="T74">
        <v>0</v>
      </c>
    </row>
    <row r="75" spans="1:20" x14ac:dyDescent="0.25">
      <c r="A75" t="s">
        <v>292</v>
      </c>
      <c r="M75">
        <v>8</v>
      </c>
      <c r="N75">
        <v>9</v>
      </c>
      <c r="O75">
        <v>24</v>
      </c>
      <c r="P75">
        <v>27</v>
      </c>
      <c r="Q75">
        <v>70</v>
      </c>
      <c r="R75">
        <v>80</v>
      </c>
      <c r="S75">
        <v>81</v>
      </c>
      <c r="T75">
        <v>86</v>
      </c>
    </row>
    <row r="76" spans="1:20" x14ac:dyDescent="0.25">
      <c r="A76" t="s">
        <v>273</v>
      </c>
      <c r="M76">
        <v>0</v>
      </c>
      <c r="N76">
        <v>35</v>
      </c>
      <c r="O76">
        <v>0</v>
      </c>
      <c r="P76">
        <v>32</v>
      </c>
      <c r="Q76">
        <v>0</v>
      </c>
      <c r="R76">
        <v>90</v>
      </c>
      <c r="S76">
        <v>0</v>
      </c>
      <c r="T76">
        <v>101</v>
      </c>
    </row>
    <row r="77" spans="1:20" x14ac:dyDescent="0.25">
      <c r="A77" t="s">
        <v>294</v>
      </c>
      <c r="M77">
        <v>4</v>
      </c>
      <c r="N77">
        <v>13</v>
      </c>
      <c r="O77">
        <v>21</v>
      </c>
      <c r="P77">
        <v>29</v>
      </c>
      <c r="Q77">
        <v>66</v>
      </c>
      <c r="R77">
        <v>96</v>
      </c>
      <c r="S77">
        <v>70</v>
      </c>
      <c r="T77">
        <v>120</v>
      </c>
    </row>
    <row r="78" spans="1:20" x14ac:dyDescent="0.25">
      <c r="A78" t="s">
        <v>315</v>
      </c>
      <c r="M78">
        <v>13</v>
      </c>
      <c r="N78">
        <v>0</v>
      </c>
      <c r="O78">
        <v>19</v>
      </c>
      <c r="P78">
        <v>0</v>
      </c>
      <c r="Q78">
        <v>80</v>
      </c>
      <c r="R78">
        <v>0</v>
      </c>
      <c r="S78">
        <v>81</v>
      </c>
      <c r="T78">
        <v>0</v>
      </c>
    </row>
    <row r="79" spans="1:20" x14ac:dyDescent="0.25">
      <c r="A79" t="s">
        <v>316</v>
      </c>
      <c r="M79">
        <v>7</v>
      </c>
      <c r="N79">
        <v>12</v>
      </c>
      <c r="O79">
        <v>21</v>
      </c>
      <c r="P79">
        <v>24</v>
      </c>
      <c r="Q79">
        <v>69</v>
      </c>
      <c r="R79">
        <v>91</v>
      </c>
      <c r="S79">
        <v>65</v>
      </c>
      <c r="T79">
        <v>94</v>
      </c>
    </row>
    <row r="80" spans="1:20" x14ac:dyDescent="0.25">
      <c r="A80" t="s">
        <v>297</v>
      </c>
      <c r="M80">
        <v>13</v>
      </c>
      <c r="N80">
        <v>0</v>
      </c>
      <c r="O80">
        <v>25</v>
      </c>
      <c r="P80">
        <v>0</v>
      </c>
      <c r="Q80">
        <v>84</v>
      </c>
      <c r="R80">
        <v>0</v>
      </c>
      <c r="S80">
        <v>48</v>
      </c>
      <c r="T80">
        <v>0</v>
      </c>
    </row>
    <row r="81" spans="1:20" x14ac:dyDescent="0.25">
      <c r="A81" t="s">
        <v>298</v>
      </c>
      <c r="M81">
        <v>7</v>
      </c>
      <c r="N81">
        <v>14</v>
      </c>
      <c r="O81">
        <v>22</v>
      </c>
      <c r="P81">
        <v>25</v>
      </c>
      <c r="Q81">
        <v>80</v>
      </c>
      <c r="R81">
        <v>78</v>
      </c>
      <c r="S81">
        <v>81</v>
      </c>
      <c r="T81">
        <v>92</v>
      </c>
    </row>
    <row r="82" spans="1:20" x14ac:dyDescent="0.25">
      <c r="A82" t="s">
        <v>259</v>
      </c>
      <c r="M82">
        <v>0</v>
      </c>
      <c r="N82">
        <v>18</v>
      </c>
      <c r="O82">
        <v>0</v>
      </c>
      <c r="P82">
        <v>26</v>
      </c>
      <c r="Q82">
        <v>0</v>
      </c>
      <c r="R82">
        <v>74</v>
      </c>
      <c r="S82">
        <v>0</v>
      </c>
      <c r="T82">
        <v>90</v>
      </c>
    </row>
    <row r="83" spans="1:20" x14ac:dyDescent="0.25">
      <c r="A83" t="s">
        <v>260</v>
      </c>
      <c r="M83">
        <v>5</v>
      </c>
      <c r="N83">
        <v>8</v>
      </c>
      <c r="O83">
        <v>20</v>
      </c>
      <c r="P83">
        <v>27</v>
      </c>
      <c r="Q83">
        <v>63</v>
      </c>
      <c r="R83">
        <v>72</v>
      </c>
      <c r="S83">
        <v>62</v>
      </c>
      <c r="T83">
        <v>76</v>
      </c>
    </row>
    <row r="84" spans="1:20" x14ac:dyDescent="0.25">
      <c r="A84" t="s">
        <v>261</v>
      </c>
      <c r="M84">
        <v>9</v>
      </c>
      <c r="N84">
        <v>0</v>
      </c>
      <c r="O84">
        <v>21</v>
      </c>
      <c r="P84">
        <v>0</v>
      </c>
      <c r="Q84">
        <v>54</v>
      </c>
      <c r="R84">
        <v>0</v>
      </c>
      <c r="S84">
        <v>60</v>
      </c>
      <c r="T84">
        <v>0</v>
      </c>
    </row>
    <row r="85" spans="1:20" x14ac:dyDescent="0.25">
      <c r="A85" t="s">
        <v>302</v>
      </c>
      <c r="M85">
        <v>4</v>
      </c>
      <c r="N85">
        <v>14</v>
      </c>
      <c r="O85">
        <v>18</v>
      </c>
      <c r="P85">
        <v>26</v>
      </c>
      <c r="Q85">
        <v>53</v>
      </c>
      <c r="R85">
        <v>83</v>
      </c>
      <c r="S85">
        <v>46</v>
      </c>
      <c r="T85">
        <v>88</v>
      </c>
    </row>
    <row r="86" spans="1:20" x14ac:dyDescent="0.25">
      <c r="A86" t="s">
        <v>303</v>
      </c>
      <c r="M86">
        <v>0</v>
      </c>
      <c r="N86">
        <v>31</v>
      </c>
      <c r="O86">
        <v>0</v>
      </c>
      <c r="P86">
        <v>29</v>
      </c>
      <c r="Q86">
        <v>0</v>
      </c>
      <c r="R86">
        <v>73</v>
      </c>
      <c r="S86">
        <v>0</v>
      </c>
      <c r="T86">
        <v>80</v>
      </c>
    </row>
    <row r="87" spans="1:20" x14ac:dyDescent="0.25">
      <c r="A87" t="s">
        <v>264</v>
      </c>
      <c r="M87">
        <v>8</v>
      </c>
      <c r="N87">
        <v>18</v>
      </c>
      <c r="O87">
        <v>20</v>
      </c>
      <c r="P87">
        <v>30</v>
      </c>
      <c r="Q87">
        <v>64</v>
      </c>
      <c r="R87">
        <v>82</v>
      </c>
      <c r="S87">
        <v>63</v>
      </c>
      <c r="T87">
        <v>94</v>
      </c>
    </row>
    <row r="88" spans="1:20" x14ac:dyDescent="0.25">
      <c r="A88" t="s">
        <v>305</v>
      </c>
      <c r="M88">
        <v>12</v>
      </c>
      <c r="N88">
        <v>0</v>
      </c>
      <c r="O88">
        <v>19</v>
      </c>
      <c r="P88">
        <v>0</v>
      </c>
      <c r="Q88">
        <v>64</v>
      </c>
      <c r="R88">
        <v>0</v>
      </c>
      <c r="S88">
        <v>70</v>
      </c>
      <c r="T88">
        <v>0</v>
      </c>
    </row>
    <row r="89" spans="1:20" x14ac:dyDescent="0.25">
      <c r="A89" t="s">
        <v>286</v>
      </c>
      <c r="M89">
        <v>4</v>
      </c>
      <c r="N89">
        <v>11</v>
      </c>
      <c r="O89">
        <v>19</v>
      </c>
      <c r="P89">
        <v>28</v>
      </c>
      <c r="Q89">
        <v>7</v>
      </c>
      <c r="R89">
        <v>94</v>
      </c>
      <c r="S89">
        <v>70</v>
      </c>
      <c r="T89">
        <v>111</v>
      </c>
    </row>
    <row r="90" spans="1:20" x14ac:dyDescent="0.25">
      <c r="A90" t="s">
        <v>287</v>
      </c>
      <c r="M90">
        <v>0</v>
      </c>
      <c r="N90">
        <v>25</v>
      </c>
      <c r="O90">
        <v>0</v>
      </c>
      <c r="P90">
        <v>31</v>
      </c>
      <c r="Q90">
        <v>0</v>
      </c>
      <c r="R90">
        <v>85</v>
      </c>
      <c r="S90">
        <v>0</v>
      </c>
      <c r="T90">
        <v>86</v>
      </c>
    </row>
    <row r="91" spans="1:20" x14ac:dyDescent="0.25">
      <c r="A91" t="s">
        <v>288</v>
      </c>
      <c r="M91">
        <v>7</v>
      </c>
      <c r="N91">
        <v>14</v>
      </c>
      <c r="O91">
        <v>21</v>
      </c>
      <c r="P91">
        <v>27</v>
      </c>
      <c r="Q91">
        <v>66</v>
      </c>
      <c r="R91">
        <v>87</v>
      </c>
      <c r="S91">
        <v>70</v>
      </c>
      <c r="T91">
        <v>92</v>
      </c>
    </row>
    <row r="92" spans="1:20" x14ac:dyDescent="0.25">
      <c r="A92" t="s">
        <v>269</v>
      </c>
      <c r="M92">
        <v>0</v>
      </c>
      <c r="N92">
        <v>28</v>
      </c>
      <c r="O92">
        <v>0</v>
      </c>
      <c r="P92">
        <v>35</v>
      </c>
      <c r="Q92">
        <v>0</v>
      </c>
      <c r="R92">
        <v>95</v>
      </c>
      <c r="S92">
        <v>0</v>
      </c>
      <c r="T92">
        <v>120</v>
      </c>
    </row>
    <row r="93" spans="1:20" x14ac:dyDescent="0.25">
      <c r="A93" t="s">
        <v>270</v>
      </c>
      <c r="M93">
        <v>7</v>
      </c>
      <c r="N93">
        <v>13</v>
      </c>
      <c r="O93">
        <v>23</v>
      </c>
      <c r="P93">
        <v>28</v>
      </c>
      <c r="Q93">
        <v>65</v>
      </c>
      <c r="R93">
        <v>86</v>
      </c>
      <c r="S93">
        <v>62</v>
      </c>
      <c r="T93">
        <v>99</v>
      </c>
    </row>
    <row r="94" spans="1:20" x14ac:dyDescent="0.25">
      <c r="A94" t="s">
        <v>271</v>
      </c>
      <c r="M94">
        <v>17</v>
      </c>
      <c r="N94">
        <v>0</v>
      </c>
      <c r="O94">
        <v>22</v>
      </c>
      <c r="P94">
        <v>0</v>
      </c>
      <c r="Q94">
        <v>75</v>
      </c>
      <c r="R94">
        <v>0</v>
      </c>
      <c r="S94">
        <v>92</v>
      </c>
      <c r="T94">
        <v>0</v>
      </c>
    </row>
    <row r="95" spans="1:20" x14ac:dyDescent="0.25">
      <c r="A95" t="s">
        <v>272</v>
      </c>
      <c r="M95">
        <v>10</v>
      </c>
      <c r="N95">
        <v>13</v>
      </c>
      <c r="O95">
        <v>21</v>
      </c>
      <c r="P95">
        <v>27</v>
      </c>
      <c r="Q95">
        <v>74</v>
      </c>
      <c r="R95">
        <v>74</v>
      </c>
      <c r="S95">
        <v>80</v>
      </c>
      <c r="T95">
        <v>91</v>
      </c>
    </row>
    <row r="96" spans="1:20" x14ac:dyDescent="0.25">
      <c r="A96" t="s">
        <v>313</v>
      </c>
      <c r="M96">
        <v>0</v>
      </c>
      <c r="N96">
        <v>33</v>
      </c>
      <c r="O96">
        <v>0</v>
      </c>
      <c r="P96">
        <v>28</v>
      </c>
      <c r="Q96">
        <v>0</v>
      </c>
      <c r="R96">
        <v>86</v>
      </c>
      <c r="S96">
        <v>0</v>
      </c>
      <c r="T96">
        <v>93</v>
      </c>
    </row>
    <row r="97" spans="1:20" x14ac:dyDescent="0.25">
      <c r="A97" t="s">
        <v>274</v>
      </c>
      <c r="M97">
        <v>7</v>
      </c>
      <c r="N97">
        <v>6</v>
      </c>
      <c r="O97">
        <v>21</v>
      </c>
      <c r="P97">
        <v>26</v>
      </c>
      <c r="Q97">
        <v>70</v>
      </c>
      <c r="R97">
        <v>85</v>
      </c>
      <c r="S97">
        <v>67</v>
      </c>
      <c r="T97">
        <v>114</v>
      </c>
    </row>
    <row r="98" spans="1:20" x14ac:dyDescent="0.25">
      <c r="A98" t="s">
        <v>275</v>
      </c>
      <c r="M98">
        <v>13</v>
      </c>
      <c r="N98">
        <v>0</v>
      </c>
      <c r="O98">
        <v>19</v>
      </c>
      <c r="P98">
        <v>0</v>
      </c>
      <c r="Q98">
        <v>74</v>
      </c>
      <c r="R98">
        <v>0</v>
      </c>
      <c r="S98">
        <v>81</v>
      </c>
      <c r="T98">
        <v>0</v>
      </c>
    </row>
    <row r="99" spans="1:20" x14ac:dyDescent="0.25">
      <c r="A99" t="s">
        <v>276</v>
      </c>
      <c r="M99">
        <v>8</v>
      </c>
      <c r="N99">
        <v>8</v>
      </c>
      <c r="O99">
        <v>19</v>
      </c>
      <c r="P99">
        <v>23</v>
      </c>
      <c r="Q99">
        <v>67</v>
      </c>
      <c r="R99">
        <v>88</v>
      </c>
      <c r="S99">
        <v>69</v>
      </c>
      <c r="T99">
        <v>92</v>
      </c>
    </row>
    <row r="100" spans="1:20" x14ac:dyDescent="0.25">
      <c r="A100" t="s">
        <v>277</v>
      </c>
      <c r="M100">
        <v>14</v>
      </c>
      <c r="N100">
        <v>0</v>
      </c>
      <c r="O100">
        <v>22</v>
      </c>
      <c r="P100">
        <v>0</v>
      </c>
      <c r="Q100">
        <v>75</v>
      </c>
      <c r="R100">
        <v>0</v>
      </c>
      <c r="S100">
        <v>76</v>
      </c>
      <c r="T100">
        <v>0</v>
      </c>
    </row>
    <row r="101" spans="1:20" x14ac:dyDescent="0.25">
      <c r="A101" t="s">
        <v>278</v>
      </c>
      <c r="M101">
        <v>7</v>
      </c>
      <c r="N101">
        <v>14</v>
      </c>
      <c r="O101">
        <v>21</v>
      </c>
      <c r="P101">
        <v>23</v>
      </c>
      <c r="Q101">
        <v>75</v>
      </c>
      <c r="R101">
        <v>78</v>
      </c>
      <c r="S101">
        <v>73</v>
      </c>
      <c r="T101">
        <v>92</v>
      </c>
    </row>
    <row r="102" spans="1:20" x14ac:dyDescent="0.25">
      <c r="A102" t="s">
        <v>299</v>
      </c>
      <c r="M102">
        <v>0</v>
      </c>
      <c r="N102">
        <v>21</v>
      </c>
      <c r="O102">
        <v>0</v>
      </c>
      <c r="P102">
        <v>30</v>
      </c>
      <c r="Q102">
        <v>0</v>
      </c>
      <c r="R102">
        <v>78</v>
      </c>
      <c r="S102">
        <v>0</v>
      </c>
      <c r="T102">
        <v>94</v>
      </c>
    </row>
    <row r="103" spans="1:20" x14ac:dyDescent="0.25">
      <c r="A103" t="s">
        <v>280</v>
      </c>
      <c r="M103">
        <v>6</v>
      </c>
      <c r="N103">
        <v>10</v>
      </c>
      <c r="O103">
        <v>19</v>
      </c>
      <c r="P103">
        <v>26</v>
      </c>
      <c r="Q103">
        <v>60</v>
      </c>
      <c r="R103">
        <v>75</v>
      </c>
      <c r="S103">
        <v>67</v>
      </c>
      <c r="T103">
        <v>83</v>
      </c>
    </row>
    <row r="104" spans="1:20" x14ac:dyDescent="0.25">
      <c r="A104" t="s">
        <v>301</v>
      </c>
      <c r="M104">
        <v>10</v>
      </c>
      <c r="N104">
        <v>0</v>
      </c>
      <c r="O104">
        <v>20</v>
      </c>
      <c r="P104">
        <v>0</v>
      </c>
      <c r="Q104">
        <v>63</v>
      </c>
      <c r="R104">
        <v>0</v>
      </c>
      <c r="S104">
        <v>65</v>
      </c>
      <c r="T104">
        <v>0</v>
      </c>
    </row>
    <row r="105" spans="1:20" x14ac:dyDescent="0.25">
      <c r="A105" t="s">
        <v>262</v>
      </c>
      <c r="M105">
        <v>3</v>
      </c>
      <c r="N105">
        <v>10</v>
      </c>
      <c r="O105">
        <v>16</v>
      </c>
      <c r="P105">
        <v>23</v>
      </c>
      <c r="Q105">
        <v>48</v>
      </c>
      <c r="R105">
        <v>78</v>
      </c>
      <c r="S105">
        <v>48</v>
      </c>
      <c r="T105">
        <v>90</v>
      </c>
    </row>
    <row r="106" spans="1:20" x14ac:dyDescent="0.25">
      <c r="A106" t="s">
        <v>283</v>
      </c>
      <c r="M106">
        <v>0</v>
      </c>
      <c r="N106">
        <v>22</v>
      </c>
      <c r="O106">
        <v>0</v>
      </c>
      <c r="P106">
        <v>25</v>
      </c>
      <c r="Q106">
        <v>0</v>
      </c>
      <c r="R106">
        <v>77</v>
      </c>
      <c r="S106">
        <v>0</v>
      </c>
      <c r="T106">
        <v>80</v>
      </c>
    </row>
    <row r="107" spans="1:20" x14ac:dyDescent="0.25">
      <c r="A107" t="s">
        <v>284</v>
      </c>
      <c r="M107">
        <v>7</v>
      </c>
      <c r="N107">
        <v>16</v>
      </c>
      <c r="O107">
        <v>20</v>
      </c>
      <c r="P107">
        <v>34</v>
      </c>
      <c r="Q107">
        <v>64</v>
      </c>
      <c r="R107">
        <v>83</v>
      </c>
      <c r="S107">
        <v>64</v>
      </c>
      <c r="T107">
        <v>101</v>
      </c>
    </row>
    <row r="108" spans="1:20" x14ac:dyDescent="0.25">
      <c r="A108" t="s">
        <v>265</v>
      </c>
      <c r="M108">
        <v>11</v>
      </c>
      <c r="N108">
        <v>0</v>
      </c>
      <c r="O108">
        <v>17</v>
      </c>
      <c r="P108">
        <v>0</v>
      </c>
      <c r="Q108">
        <v>66</v>
      </c>
      <c r="R108">
        <v>0</v>
      </c>
      <c r="S108">
        <v>68</v>
      </c>
      <c r="T108">
        <v>0</v>
      </c>
    </row>
    <row r="109" spans="1:20" x14ac:dyDescent="0.25">
      <c r="A109" t="s">
        <v>306</v>
      </c>
      <c r="M109">
        <v>5</v>
      </c>
      <c r="N109">
        <v>10</v>
      </c>
      <c r="O109">
        <v>21</v>
      </c>
      <c r="P109">
        <v>32</v>
      </c>
      <c r="Q109">
        <v>70</v>
      </c>
      <c r="R109">
        <v>96</v>
      </c>
      <c r="S109">
        <v>65</v>
      </c>
      <c r="T109">
        <v>110</v>
      </c>
    </row>
    <row r="110" spans="1:20" x14ac:dyDescent="0.25">
      <c r="A110" t="s">
        <v>307</v>
      </c>
      <c r="M110">
        <v>0</v>
      </c>
      <c r="N110">
        <v>30</v>
      </c>
      <c r="O110">
        <v>0</v>
      </c>
      <c r="P110">
        <v>21</v>
      </c>
      <c r="Q110">
        <v>0</v>
      </c>
      <c r="R110">
        <v>83</v>
      </c>
      <c r="S110">
        <v>0</v>
      </c>
      <c r="T110">
        <v>92</v>
      </c>
    </row>
    <row r="111" spans="1:20" x14ac:dyDescent="0.25">
      <c r="A111" t="s">
        <v>268</v>
      </c>
      <c r="M111">
        <v>5</v>
      </c>
      <c r="N111">
        <v>15</v>
      </c>
      <c r="O111">
        <v>19</v>
      </c>
      <c r="P111">
        <v>27</v>
      </c>
      <c r="Q111">
        <v>63</v>
      </c>
      <c r="R111">
        <v>83</v>
      </c>
      <c r="S111">
        <v>70</v>
      </c>
      <c r="T111">
        <v>91</v>
      </c>
    </row>
    <row r="112" spans="1:20" x14ac:dyDescent="0.25">
      <c r="A112" t="s">
        <v>309</v>
      </c>
      <c r="M112">
        <v>0</v>
      </c>
      <c r="N112">
        <v>29</v>
      </c>
      <c r="O112">
        <v>0</v>
      </c>
      <c r="P112">
        <v>35</v>
      </c>
      <c r="Q112">
        <v>0</v>
      </c>
      <c r="R112">
        <v>103</v>
      </c>
      <c r="S112">
        <v>0</v>
      </c>
      <c r="T112">
        <v>115</v>
      </c>
    </row>
    <row r="113" spans="1:20" x14ac:dyDescent="0.25">
      <c r="A113" t="s">
        <v>310</v>
      </c>
      <c r="M113">
        <v>6</v>
      </c>
      <c r="N113">
        <v>5</v>
      </c>
      <c r="O113">
        <v>20</v>
      </c>
      <c r="P113">
        <v>29</v>
      </c>
      <c r="Q113">
        <v>73</v>
      </c>
      <c r="R113">
        <v>86</v>
      </c>
      <c r="S113">
        <v>73</v>
      </c>
      <c r="T113">
        <v>111</v>
      </c>
    </row>
    <row r="114" spans="1:20" x14ac:dyDescent="0.25">
      <c r="A114" t="s">
        <v>311</v>
      </c>
      <c r="M114">
        <v>13</v>
      </c>
      <c r="N114">
        <v>0</v>
      </c>
      <c r="O114">
        <v>21</v>
      </c>
      <c r="P114">
        <v>0</v>
      </c>
      <c r="Q114">
        <v>75</v>
      </c>
      <c r="R114">
        <v>0</v>
      </c>
      <c r="S114">
        <v>97</v>
      </c>
      <c r="T114">
        <v>0</v>
      </c>
    </row>
    <row r="115" spans="1:20" x14ac:dyDescent="0.25">
      <c r="A115" t="s">
        <v>312</v>
      </c>
      <c r="M115">
        <v>8</v>
      </c>
      <c r="N115">
        <v>8</v>
      </c>
      <c r="O115">
        <v>20</v>
      </c>
      <c r="P115">
        <v>27</v>
      </c>
      <c r="Q115">
        <v>72</v>
      </c>
      <c r="R115">
        <v>78</v>
      </c>
      <c r="S115">
        <v>78</v>
      </c>
      <c r="T115">
        <v>88</v>
      </c>
    </row>
    <row r="116" spans="1:20" x14ac:dyDescent="0.25">
      <c r="A116" t="s">
        <v>293</v>
      </c>
      <c r="M116">
        <v>0</v>
      </c>
      <c r="N116">
        <v>32</v>
      </c>
      <c r="O116">
        <v>0</v>
      </c>
      <c r="P116">
        <v>30</v>
      </c>
      <c r="Q116">
        <v>0</v>
      </c>
      <c r="R116">
        <v>89</v>
      </c>
      <c r="S116">
        <v>0</v>
      </c>
      <c r="T116">
        <v>96</v>
      </c>
    </row>
    <row r="117" spans="1:20" x14ac:dyDescent="0.25">
      <c r="A117" t="s">
        <v>314</v>
      </c>
      <c r="M117">
        <v>4</v>
      </c>
      <c r="N117">
        <v>23</v>
      </c>
      <c r="O117">
        <v>23</v>
      </c>
      <c r="P117">
        <v>31</v>
      </c>
      <c r="Q117">
        <v>69</v>
      </c>
      <c r="R117">
        <v>93</v>
      </c>
      <c r="S117">
        <v>71</v>
      </c>
      <c r="T117">
        <v>111</v>
      </c>
    </row>
    <row r="118" spans="1:20" x14ac:dyDescent="0.25">
      <c r="A118" t="s">
        <v>295</v>
      </c>
      <c r="M118">
        <v>8</v>
      </c>
      <c r="N118">
        <v>0</v>
      </c>
      <c r="O118">
        <v>21</v>
      </c>
      <c r="P118">
        <v>0</v>
      </c>
      <c r="Q118">
        <v>76</v>
      </c>
      <c r="R118">
        <v>0</v>
      </c>
      <c r="S118">
        <v>79</v>
      </c>
      <c r="T118">
        <v>0</v>
      </c>
    </row>
    <row r="119" spans="1:20" x14ac:dyDescent="0.25">
      <c r="A119" t="s">
        <v>296</v>
      </c>
      <c r="M119">
        <v>6</v>
      </c>
      <c r="N119">
        <v>16</v>
      </c>
      <c r="O119">
        <v>21</v>
      </c>
      <c r="P119">
        <v>24</v>
      </c>
      <c r="Q119">
        <v>70</v>
      </c>
      <c r="R119">
        <v>92</v>
      </c>
      <c r="S119">
        <v>75</v>
      </c>
      <c r="T119">
        <v>91</v>
      </c>
    </row>
    <row r="120" spans="1:20" x14ac:dyDescent="0.25">
      <c r="A120" t="s">
        <v>317</v>
      </c>
      <c r="M120">
        <v>8</v>
      </c>
      <c r="N120">
        <v>0</v>
      </c>
      <c r="O120">
        <v>21</v>
      </c>
      <c r="P120">
        <v>0</v>
      </c>
      <c r="Q120">
        <v>82</v>
      </c>
      <c r="R120">
        <v>0</v>
      </c>
      <c r="S120">
        <v>85</v>
      </c>
      <c r="T120">
        <v>0</v>
      </c>
    </row>
    <row r="121" spans="1:20" x14ac:dyDescent="0.25">
      <c r="A121" t="s">
        <v>318</v>
      </c>
      <c r="M121">
        <v>7</v>
      </c>
      <c r="N121">
        <v>8</v>
      </c>
      <c r="O121">
        <v>21</v>
      </c>
      <c r="P121">
        <v>25</v>
      </c>
      <c r="Q121">
        <v>79</v>
      </c>
      <c r="R121">
        <v>83</v>
      </c>
      <c r="S121">
        <v>81</v>
      </c>
      <c r="T121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6422-36A0-455C-A896-5E7E3A6C3DB6}">
  <dimension ref="A1:R61"/>
  <sheetViews>
    <sheetView topLeftCell="D1" workbookViewId="0">
      <selection activeCell="J19" sqref="J19"/>
    </sheetView>
  </sheetViews>
  <sheetFormatPr defaultColWidth="33.140625" defaultRowHeight="15" x14ac:dyDescent="0.25"/>
  <cols>
    <col min="1" max="1" width="27" bestFit="1" customWidth="1"/>
    <col min="2" max="2" width="44.7109375" bestFit="1" customWidth="1"/>
    <col min="3" max="3" width="48.140625" bestFit="1" customWidth="1"/>
    <col min="4" max="4" width="39.85546875" bestFit="1" customWidth="1"/>
    <col min="5" max="5" width="36.5703125" bestFit="1" customWidth="1"/>
    <col min="6" max="6" width="31.140625" bestFit="1" customWidth="1"/>
    <col min="7" max="7" width="27.140625" bestFit="1" customWidth="1"/>
    <col min="8" max="8" width="31.140625" bestFit="1" customWidth="1"/>
    <col min="9" max="9" width="27.140625" bestFit="1" customWidth="1"/>
    <col min="10" max="10" width="53" bestFit="1" customWidth="1"/>
    <col min="11" max="11" width="56.5703125" bestFit="1" customWidth="1"/>
    <col min="12" max="12" width="58.42578125" bestFit="1" customWidth="1"/>
    <col min="13" max="13" width="53" bestFit="1" customWidth="1"/>
    <col min="14" max="14" width="56.5703125" bestFit="1" customWidth="1"/>
    <col min="15" max="15" width="58.42578125" bestFit="1" customWidth="1"/>
    <col min="16" max="16" width="53" bestFit="1" customWidth="1"/>
    <col min="17" max="17" width="56.5703125" bestFit="1" customWidth="1"/>
    <col min="18" max="18" width="58.42578125" bestFit="1" customWidth="1"/>
    <col min="19" max="19" width="44.7109375" bestFit="1" customWidth="1"/>
    <col min="20" max="20" width="48.140625" bestFit="1" customWidth="1"/>
    <col min="29" max="29" width="53" bestFit="1" customWidth="1"/>
    <col min="30" max="30" width="56.5703125" bestFit="1" customWidth="1"/>
    <col min="31" max="31" width="58.42578125" bestFit="1" customWidth="1"/>
    <col min="32" max="32" width="53" bestFit="1" customWidth="1"/>
    <col min="33" max="33" width="56.5703125" bestFit="1" customWidth="1"/>
    <col min="34" max="34" width="58.42578125" bestFit="1" customWidth="1"/>
    <col min="35" max="35" width="53" bestFit="1" customWidth="1"/>
    <col min="36" max="36" width="56.5703125" bestFit="1" customWidth="1"/>
    <col min="37" max="37" width="58.42578125" bestFit="1" customWidth="1"/>
  </cols>
  <sheetData>
    <row r="1" spans="1:18" ht="15.75" thickBot="1" x14ac:dyDescent="0.3">
      <c r="A1" s="3" t="s">
        <v>247</v>
      </c>
      <c r="B1" t="s">
        <v>88</v>
      </c>
      <c r="C1" t="s">
        <v>89</v>
      </c>
      <c r="D1" s="1" t="s">
        <v>7</v>
      </c>
      <c r="E1" s="1" t="s">
        <v>8</v>
      </c>
      <c r="F1" t="s">
        <v>92</v>
      </c>
      <c r="G1" t="s">
        <v>90</v>
      </c>
      <c r="H1" t="s">
        <v>93</v>
      </c>
      <c r="I1" t="s">
        <v>91</v>
      </c>
      <c r="J1" t="s">
        <v>94</v>
      </c>
      <c r="K1" t="s">
        <v>97</v>
      </c>
      <c r="L1" t="s">
        <v>15</v>
      </c>
      <c r="M1" t="s">
        <v>95</v>
      </c>
      <c r="N1" t="s">
        <v>98</v>
      </c>
      <c r="O1" t="s">
        <v>100</v>
      </c>
      <c r="P1" t="s">
        <v>96</v>
      </c>
      <c r="Q1" t="s">
        <v>99</v>
      </c>
      <c r="R1" t="s">
        <v>101</v>
      </c>
    </row>
    <row r="2" spans="1:18" x14ac:dyDescent="0.25">
      <c r="A2" s="1" t="s">
        <v>16</v>
      </c>
      <c r="B2" s="1">
        <v>10</v>
      </c>
      <c r="C2" s="1">
        <v>5</v>
      </c>
      <c r="D2" s="1">
        <v>20</v>
      </c>
      <c r="E2" s="1">
        <v>18</v>
      </c>
      <c r="J2" s="1">
        <v>21.84</v>
      </c>
      <c r="K2" s="1">
        <v>37.21</v>
      </c>
      <c r="L2" s="1">
        <v>0</v>
      </c>
    </row>
    <row r="3" spans="1:18" x14ac:dyDescent="0.25">
      <c r="A3" s="1" t="s">
        <v>22</v>
      </c>
      <c r="B3" s="1">
        <v>33</v>
      </c>
      <c r="C3" s="1">
        <v>0</v>
      </c>
      <c r="D3" s="1">
        <v>0</v>
      </c>
      <c r="E3" s="1">
        <v>18</v>
      </c>
      <c r="F3" s="1"/>
      <c r="G3" s="1"/>
      <c r="H3" s="1"/>
      <c r="I3" s="1"/>
      <c r="J3" s="1">
        <v>22.34</v>
      </c>
      <c r="K3" s="1">
        <v>0</v>
      </c>
      <c r="L3" s="1">
        <v>0</v>
      </c>
    </row>
    <row r="4" spans="1:18" x14ac:dyDescent="0.25">
      <c r="A4" s="1" t="s">
        <v>29</v>
      </c>
      <c r="B4" s="1">
        <v>11</v>
      </c>
      <c r="C4" s="1">
        <v>7</v>
      </c>
      <c r="D4" s="1">
        <v>19</v>
      </c>
      <c r="E4" s="1">
        <v>17</v>
      </c>
      <c r="F4" s="1"/>
      <c r="G4" s="1"/>
      <c r="H4" s="1"/>
      <c r="I4" s="1"/>
      <c r="J4" s="1">
        <v>21.22</v>
      </c>
      <c r="K4" s="1">
        <v>43.03</v>
      </c>
      <c r="L4" s="1">
        <v>0</v>
      </c>
    </row>
    <row r="5" spans="1:18" x14ac:dyDescent="0.25">
      <c r="A5" s="1" t="s">
        <v>32</v>
      </c>
      <c r="B5" s="1">
        <v>0</v>
      </c>
      <c r="C5" s="1">
        <v>7</v>
      </c>
      <c r="D5" s="1">
        <v>13</v>
      </c>
      <c r="E5" s="1">
        <v>0</v>
      </c>
      <c r="F5" s="1"/>
      <c r="G5" s="1"/>
      <c r="H5" s="1"/>
      <c r="I5" s="1"/>
      <c r="J5" s="1">
        <v>0</v>
      </c>
      <c r="K5" s="1">
        <v>37.14</v>
      </c>
      <c r="L5" s="1">
        <v>0</v>
      </c>
    </row>
    <row r="6" spans="1:18" x14ac:dyDescent="0.25">
      <c r="A6" s="1" t="s">
        <v>34</v>
      </c>
      <c r="B6" s="1">
        <v>8</v>
      </c>
      <c r="C6" s="1">
        <v>3</v>
      </c>
      <c r="D6" s="1">
        <v>14</v>
      </c>
      <c r="E6" s="1">
        <v>9</v>
      </c>
      <c r="F6" s="1"/>
      <c r="G6" s="1"/>
      <c r="H6" s="1"/>
      <c r="I6" s="1"/>
      <c r="J6" s="1">
        <v>12.68</v>
      </c>
      <c r="K6" s="1">
        <v>29.02</v>
      </c>
      <c r="L6" s="1">
        <v>0</v>
      </c>
    </row>
    <row r="7" spans="1:18" x14ac:dyDescent="0.25">
      <c r="A7" s="1" t="s">
        <v>38</v>
      </c>
      <c r="B7" s="1">
        <v>34</v>
      </c>
      <c r="C7" s="1">
        <v>0</v>
      </c>
      <c r="D7" s="1">
        <v>0</v>
      </c>
      <c r="E7" s="1">
        <v>15</v>
      </c>
      <c r="F7" s="1"/>
      <c r="G7" s="1"/>
      <c r="H7" s="1"/>
      <c r="I7" s="1"/>
      <c r="J7" s="1">
        <v>26.2</v>
      </c>
      <c r="K7" s="1">
        <v>0</v>
      </c>
      <c r="L7" s="1">
        <v>0</v>
      </c>
    </row>
    <row r="8" spans="1:18" x14ac:dyDescent="0.25">
      <c r="A8" s="1" t="s">
        <v>42</v>
      </c>
      <c r="B8" s="1">
        <v>4</v>
      </c>
      <c r="C8" s="1">
        <v>10</v>
      </c>
      <c r="D8" s="1">
        <v>13</v>
      </c>
      <c r="E8" s="1">
        <v>7</v>
      </c>
      <c r="F8" s="1"/>
      <c r="G8" s="1"/>
      <c r="H8" s="1"/>
      <c r="I8" s="1"/>
      <c r="J8" s="1">
        <v>11.26</v>
      </c>
      <c r="K8" s="1">
        <v>31.31</v>
      </c>
      <c r="L8" s="1">
        <v>0</v>
      </c>
    </row>
    <row r="9" spans="1:18" x14ac:dyDescent="0.25">
      <c r="A9" s="1" t="s">
        <v>47</v>
      </c>
      <c r="B9" s="1">
        <v>34</v>
      </c>
      <c r="C9" s="1">
        <v>0</v>
      </c>
      <c r="D9" s="1">
        <v>0</v>
      </c>
      <c r="E9" s="1">
        <v>16</v>
      </c>
      <c r="F9" s="1"/>
      <c r="G9" s="1"/>
      <c r="H9" s="1"/>
      <c r="I9" s="1"/>
      <c r="J9" s="1">
        <v>34.619999999999997</v>
      </c>
      <c r="K9" s="1">
        <v>0</v>
      </c>
      <c r="L9" s="1">
        <v>0</v>
      </c>
    </row>
    <row r="10" spans="1:18" x14ac:dyDescent="0.25">
      <c r="A10" s="1" t="s">
        <v>52</v>
      </c>
      <c r="B10" s="1">
        <v>0</v>
      </c>
      <c r="C10" s="1">
        <v>8</v>
      </c>
      <c r="D10" s="1">
        <v>21</v>
      </c>
      <c r="E10" s="1">
        <v>0</v>
      </c>
      <c r="F10" s="1"/>
      <c r="G10" s="1"/>
      <c r="H10" s="1"/>
      <c r="I10" s="1"/>
      <c r="J10" s="1">
        <v>0</v>
      </c>
      <c r="K10" s="1">
        <v>48.17</v>
      </c>
      <c r="L10" s="1">
        <v>0</v>
      </c>
    </row>
    <row r="11" spans="1:18" x14ac:dyDescent="0.25">
      <c r="A11" s="1" t="s">
        <v>54</v>
      </c>
      <c r="B11" s="1">
        <v>13</v>
      </c>
      <c r="C11" s="1">
        <v>5</v>
      </c>
      <c r="D11" s="1">
        <v>19</v>
      </c>
      <c r="E11" s="1">
        <v>18</v>
      </c>
      <c r="F11" s="1"/>
      <c r="G11" s="1"/>
      <c r="H11" s="1"/>
      <c r="I11" s="1"/>
      <c r="J11" s="1">
        <v>29.51</v>
      </c>
      <c r="K11" s="1">
        <v>33.590000000000003</v>
      </c>
      <c r="L11" s="1">
        <v>0</v>
      </c>
    </row>
    <row r="12" spans="1:18" x14ac:dyDescent="0.25">
      <c r="A12" s="1" t="s">
        <v>56</v>
      </c>
      <c r="B12" s="1">
        <v>10</v>
      </c>
      <c r="C12" s="1">
        <v>10</v>
      </c>
      <c r="D12" s="1">
        <v>21</v>
      </c>
      <c r="E12" s="1">
        <v>19</v>
      </c>
      <c r="F12" s="1"/>
      <c r="G12" s="1"/>
      <c r="H12" s="1"/>
      <c r="I12" s="1"/>
      <c r="J12" s="1">
        <v>7.36</v>
      </c>
      <c r="K12" s="1">
        <v>31.7</v>
      </c>
      <c r="L12" s="1">
        <v>0</v>
      </c>
    </row>
    <row r="13" spans="1:18" x14ac:dyDescent="0.25">
      <c r="A13" s="1" t="s">
        <v>61</v>
      </c>
      <c r="B13" s="1">
        <v>30</v>
      </c>
      <c r="C13" s="1">
        <v>0</v>
      </c>
      <c r="D13" s="1">
        <v>0</v>
      </c>
      <c r="E13" s="1">
        <v>13</v>
      </c>
      <c r="F13" s="1"/>
      <c r="G13" s="1"/>
      <c r="H13" s="1"/>
      <c r="I13" s="1"/>
      <c r="J13" s="1">
        <v>10.75</v>
      </c>
      <c r="K13" s="1">
        <v>0</v>
      </c>
      <c r="L13" s="1">
        <v>0</v>
      </c>
    </row>
    <row r="14" spans="1:18" x14ac:dyDescent="0.25">
      <c r="A14" s="1" t="s">
        <v>64</v>
      </c>
      <c r="B14" s="1">
        <v>8</v>
      </c>
      <c r="C14" s="1">
        <v>4</v>
      </c>
      <c r="D14" s="1">
        <v>18</v>
      </c>
      <c r="E14" s="1">
        <v>15</v>
      </c>
      <c r="F14" s="1"/>
      <c r="G14" s="1"/>
      <c r="H14" s="1"/>
      <c r="I14" s="1"/>
      <c r="J14" s="1">
        <v>1.69</v>
      </c>
      <c r="K14" s="1">
        <v>27.18</v>
      </c>
      <c r="L14" s="1">
        <v>0</v>
      </c>
    </row>
    <row r="15" spans="1:18" x14ac:dyDescent="0.25">
      <c r="A15" s="1" t="s">
        <v>68</v>
      </c>
      <c r="B15" s="1">
        <v>23</v>
      </c>
      <c r="C15" s="1">
        <v>0</v>
      </c>
      <c r="D15" s="1">
        <v>0</v>
      </c>
      <c r="E15" s="1">
        <v>10</v>
      </c>
      <c r="F15" s="1"/>
      <c r="G15" s="1"/>
      <c r="H15" s="1"/>
      <c r="I15" s="1"/>
      <c r="J15" s="1">
        <v>6.38</v>
      </c>
      <c r="K15" s="1">
        <v>0</v>
      </c>
      <c r="L15" s="1">
        <v>0</v>
      </c>
    </row>
    <row r="16" spans="1:18" x14ac:dyDescent="0.25">
      <c r="A16" s="1" t="s">
        <v>69</v>
      </c>
      <c r="B16" s="1">
        <v>12</v>
      </c>
      <c r="C16" s="1">
        <v>5</v>
      </c>
      <c r="D16" s="1">
        <v>23</v>
      </c>
      <c r="E16" s="1">
        <v>11</v>
      </c>
      <c r="F16" s="1"/>
      <c r="G16" s="1"/>
      <c r="H16" s="1"/>
      <c r="I16" s="1"/>
      <c r="J16" s="1">
        <v>1.1000000000000001</v>
      </c>
      <c r="K16" s="1">
        <v>20.23</v>
      </c>
      <c r="L16" s="1">
        <v>0</v>
      </c>
    </row>
    <row r="17" spans="1:15" x14ac:dyDescent="0.25">
      <c r="A17" s="1" t="s">
        <v>74</v>
      </c>
      <c r="B17" s="1">
        <v>7</v>
      </c>
      <c r="C17" s="1">
        <v>4</v>
      </c>
      <c r="D17" s="1">
        <v>19</v>
      </c>
      <c r="E17" s="1">
        <v>16</v>
      </c>
      <c r="F17" s="1"/>
      <c r="G17" s="1"/>
      <c r="H17" s="1"/>
      <c r="I17" s="1"/>
      <c r="J17" s="1">
        <v>3.61</v>
      </c>
      <c r="K17" s="1">
        <v>11.58</v>
      </c>
      <c r="L17" s="1">
        <v>0</v>
      </c>
    </row>
    <row r="18" spans="1:15" x14ac:dyDescent="0.25">
      <c r="A18" s="1" t="s">
        <v>76</v>
      </c>
      <c r="B18" s="1">
        <v>0</v>
      </c>
      <c r="C18" s="1">
        <v>9</v>
      </c>
      <c r="D18" s="1">
        <v>18</v>
      </c>
      <c r="E18" s="1">
        <v>0</v>
      </c>
      <c r="F18" s="1"/>
      <c r="G18" s="1"/>
      <c r="H18" s="1"/>
      <c r="I18" s="1"/>
      <c r="J18" s="1">
        <v>0</v>
      </c>
      <c r="K18" s="1">
        <v>20.53</v>
      </c>
      <c r="L18" s="1">
        <v>0</v>
      </c>
    </row>
    <row r="19" spans="1:15" x14ac:dyDescent="0.25">
      <c r="A19" s="1" t="s">
        <v>78</v>
      </c>
      <c r="B19" s="1">
        <v>0</v>
      </c>
      <c r="C19" s="1">
        <v>11</v>
      </c>
      <c r="D19" s="1">
        <v>18</v>
      </c>
      <c r="E19" s="1">
        <v>0</v>
      </c>
      <c r="F19" s="1"/>
      <c r="G19" s="1"/>
      <c r="H19" s="1"/>
      <c r="I19" s="1"/>
      <c r="J19" s="1">
        <v>0</v>
      </c>
      <c r="K19" s="1">
        <v>31.79</v>
      </c>
      <c r="L19" s="1">
        <v>0</v>
      </c>
    </row>
    <row r="20" spans="1:15" x14ac:dyDescent="0.25">
      <c r="A20" s="1" t="s">
        <v>81</v>
      </c>
      <c r="B20" s="1">
        <v>11</v>
      </c>
      <c r="C20" s="1">
        <v>11</v>
      </c>
      <c r="D20" s="1">
        <v>18</v>
      </c>
      <c r="E20" s="1">
        <v>14</v>
      </c>
      <c r="F20" s="1"/>
      <c r="G20" s="1"/>
      <c r="H20" s="1"/>
      <c r="I20" s="1"/>
      <c r="J20" s="1">
        <v>2.16</v>
      </c>
      <c r="K20" s="1">
        <v>25.75</v>
      </c>
      <c r="L20" s="1">
        <v>0</v>
      </c>
    </row>
    <row r="21" spans="1:15" x14ac:dyDescent="0.25">
      <c r="A21" s="1" t="s">
        <v>85</v>
      </c>
      <c r="B21" s="1">
        <v>0</v>
      </c>
      <c r="C21" s="1">
        <v>14</v>
      </c>
      <c r="D21" s="1">
        <v>18</v>
      </c>
      <c r="E21" s="1">
        <v>0</v>
      </c>
      <c r="F21" s="1"/>
      <c r="G21" s="1"/>
      <c r="H21" s="1"/>
      <c r="I21" s="1"/>
      <c r="J21" s="1">
        <v>0</v>
      </c>
      <c r="K21" s="1">
        <v>35.57</v>
      </c>
      <c r="L21" s="1">
        <v>0</v>
      </c>
    </row>
    <row r="22" spans="1:15" x14ac:dyDescent="0.25">
      <c r="A22" s="1" t="s">
        <v>21</v>
      </c>
      <c r="B22" s="1">
        <v>9</v>
      </c>
      <c r="C22" s="1">
        <v>4</v>
      </c>
      <c r="D22" s="1"/>
      <c r="E22" s="1"/>
      <c r="F22" s="1">
        <v>59</v>
      </c>
      <c r="G22" s="1">
        <v>51</v>
      </c>
      <c r="H22" s="1"/>
      <c r="I22" s="1"/>
      <c r="M22" s="1">
        <v>29.26</v>
      </c>
      <c r="N22" s="1">
        <v>155.63</v>
      </c>
      <c r="O22" s="1">
        <v>0</v>
      </c>
    </row>
    <row r="23" spans="1:15" x14ac:dyDescent="0.25">
      <c r="A23" s="1" t="s">
        <v>25</v>
      </c>
      <c r="B23" s="1">
        <v>35</v>
      </c>
      <c r="C23" s="1">
        <v>0</v>
      </c>
      <c r="D23" s="1"/>
      <c r="E23" s="1"/>
      <c r="F23" s="1">
        <v>0</v>
      </c>
      <c r="G23" s="1">
        <v>47</v>
      </c>
      <c r="H23" s="1"/>
      <c r="I23" s="1"/>
      <c r="M23" s="1">
        <v>162.9</v>
      </c>
      <c r="N23" s="1">
        <v>0</v>
      </c>
      <c r="O23" s="1">
        <v>0</v>
      </c>
    </row>
    <row r="24" spans="1:15" x14ac:dyDescent="0.25">
      <c r="A24" s="1" t="s">
        <v>26</v>
      </c>
      <c r="B24" s="1">
        <v>10</v>
      </c>
      <c r="C24" s="1">
        <v>4</v>
      </c>
      <c r="D24" s="1"/>
      <c r="E24" s="1"/>
      <c r="F24" s="1">
        <v>73</v>
      </c>
      <c r="G24" s="1">
        <v>45</v>
      </c>
      <c r="H24" s="1"/>
      <c r="I24" s="1"/>
      <c r="M24" s="1">
        <v>20.8</v>
      </c>
      <c r="N24" s="1">
        <v>184.43</v>
      </c>
      <c r="O24" s="1">
        <v>0</v>
      </c>
    </row>
    <row r="25" spans="1:15" x14ac:dyDescent="0.25">
      <c r="A25" s="1" t="s">
        <v>33</v>
      </c>
      <c r="B25" s="1">
        <v>0</v>
      </c>
      <c r="C25" s="1">
        <v>10</v>
      </c>
      <c r="D25" s="1"/>
      <c r="E25" s="1"/>
      <c r="F25" s="1">
        <v>53</v>
      </c>
      <c r="G25" s="1">
        <v>0</v>
      </c>
      <c r="H25" s="1"/>
      <c r="I25" s="1"/>
      <c r="M25" s="1">
        <v>0</v>
      </c>
      <c r="N25" s="1">
        <v>87.54</v>
      </c>
      <c r="O25" s="1">
        <v>0</v>
      </c>
    </row>
    <row r="26" spans="1:15" x14ac:dyDescent="0.25">
      <c r="A26" s="1" t="s">
        <v>37</v>
      </c>
      <c r="B26" s="1">
        <v>10</v>
      </c>
      <c r="C26" s="1">
        <v>4</v>
      </c>
      <c r="D26" s="1"/>
      <c r="E26" s="1"/>
      <c r="F26" s="1">
        <v>50</v>
      </c>
      <c r="G26" s="1">
        <v>41</v>
      </c>
      <c r="H26" s="1"/>
      <c r="I26" s="1"/>
      <c r="M26" s="1">
        <v>14.35</v>
      </c>
      <c r="N26" s="1">
        <v>93.87</v>
      </c>
      <c r="O26" s="1">
        <v>0</v>
      </c>
    </row>
    <row r="27" spans="1:15" x14ac:dyDescent="0.25">
      <c r="A27" s="1" t="s">
        <v>41</v>
      </c>
      <c r="B27" s="1">
        <v>24</v>
      </c>
      <c r="C27" s="1">
        <v>0</v>
      </c>
      <c r="D27" s="1"/>
      <c r="E27" s="1"/>
      <c r="F27" s="1">
        <v>0</v>
      </c>
      <c r="G27" s="1">
        <v>50</v>
      </c>
      <c r="H27" s="1"/>
      <c r="I27" s="1"/>
      <c r="M27" s="1">
        <v>111.24</v>
      </c>
      <c r="N27" s="1">
        <v>0</v>
      </c>
      <c r="O27" s="1">
        <v>0</v>
      </c>
    </row>
    <row r="28" spans="1:15" x14ac:dyDescent="0.25">
      <c r="A28" s="1" t="s">
        <v>46</v>
      </c>
      <c r="B28" s="1">
        <v>8</v>
      </c>
      <c r="C28" s="1">
        <v>2</v>
      </c>
      <c r="D28" s="1"/>
      <c r="E28" s="1"/>
      <c r="F28" s="1">
        <v>60</v>
      </c>
      <c r="G28" s="1">
        <v>37</v>
      </c>
      <c r="H28" s="1"/>
      <c r="I28" s="1"/>
      <c r="M28" s="1">
        <v>0.68</v>
      </c>
      <c r="N28" s="1">
        <v>78.489999999999995</v>
      </c>
      <c r="O28" s="1">
        <v>0</v>
      </c>
    </row>
    <row r="29" spans="1:15" x14ac:dyDescent="0.25">
      <c r="A29" s="1" t="s">
        <v>48</v>
      </c>
      <c r="B29" s="1">
        <v>32</v>
      </c>
      <c r="C29" s="1">
        <v>0</v>
      </c>
      <c r="D29" s="1"/>
      <c r="E29" s="1"/>
      <c r="F29" s="1">
        <v>0</v>
      </c>
      <c r="G29" s="1">
        <v>33</v>
      </c>
      <c r="H29" s="1"/>
      <c r="I29" s="1"/>
      <c r="M29" s="1">
        <v>151.5</v>
      </c>
      <c r="N29" s="1">
        <v>0</v>
      </c>
      <c r="O29" s="1">
        <v>0</v>
      </c>
    </row>
    <row r="30" spans="1:15" x14ac:dyDescent="0.25">
      <c r="A30" s="1" t="s">
        <v>50</v>
      </c>
      <c r="B30" s="1">
        <v>0</v>
      </c>
      <c r="C30" s="1">
        <v>12</v>
      </c>
      <c r="D30" s="1"/>
      <c r="E30" s="1"/>
      <c r="F30" s="1">
        <v>72</v>
      </c>
      <c r="G30" s="1">
        <v>0</v>
      </c>
      <c r="H30" s="1"/>
      <c r="I30" s="1"/>
      <c r="M30" s="1">
        <v>0</v>
      </c>
      <c r="N30" s="1">
        <v>101.67</v>
      </c>
      <c r="O30" s="1">
        <v>0</v>
      </c>
    </row>
    <row r="31" spans="1:15" x14ac:dyDescent="0.25">
      <c r="A31" s="1" t="s">
        <v>55</v>
      </c>
      <c r="B31" s="1">
        <v>7</v>
      </c>
      <c r="C31" s="1">
        <v>8</v>
      </c>
      <c r="D31" s="1"/>
      <c r="E31" s="1"/>
      <c r="F31" s="1">
        <v>62</v>
      </c>
      <c r="G31" s="1">
        <v>50</v>
      </c>
      <c r="H31" s="1"/>
      <c r="I31" s="1"/>
      <c r="M31" s="1">
        <v>58.86</v>
      </c>
      <c r="N31" s="1">
        <v>134.6</v>
      </c>
      <c r="O31" s="1">
        <v>0</v>
      </c>
    </row>
    <row r="32" spans="1:15" x14ac:dyDescent="0.25">
      <c r="A32" s="1" t="s">
        <v>58</v>
      </c>
      <c r="B32" s="1">
        <v>16</v>
      </c>
      <c r="C32" s="1">
        <v>7</v>
      </c>
      <c r="D32" s="1"/>
      <c r="E32" s="1"/>
      <c r="F32" s="1">
        <v>61</v>
      </c>
      <c r="G32" s="1">
        <v>51</v>
      </c>
      <c r="H32" s="1"/>
      <c r="I32" s="1"/>
      <c r="M32" s="1">
        <v>40.51</v>
      </c>
      <c r="N32" s="1">
        <v>200.6</v>
      </c>
      <c r="O32" s="1">
        <v>0</v>
      </c>
    </row>
    <row r="33" spans="1:18" x14ac:dyDescent="0.25">
      <c r="A33" s="1" t="s">
        <v>60</v>
      </c>
      <c r="B33" s="1">
        <v>24</v>
      </c>
      <c r="C33" s="1">
        <v>0</v>
      </c>
      <c r="D33" s="1"/>
      <c r="E33" s="1"/>
      <c r="F33" s="1">
        <v>0</v>
      </c>
      <c r="G33" s="1">
        <v>51</v>
      </c>
      <c r="H33" s="1"/>
      <c r="I33" s="1"/>
      <c r="M33" s="1">
        <v>174.86</v>
      </c>
      <c r="N33" s="1">
        <v>0</v>
      </c>
      <c r="O33" s="1">
        <v>0</v>
      </c>
    </row>
    <row r="34" spans="1:18" x14ac:dyDescent="0.25">
      <c r="A34" s="1" t="s">
        <v>65</v>
      </c>
      <c r="B34" s="1">
        <v>9</v>
      </c>
      <c r="C34" s="1">
        <v>8</v>
      </c>
      <c r="D34" s="1"/>
      <c r="E34" s="1"/>
      <c r="F34" s="1">
        <v>57</v>
      </c>
      <c r="G34" s="1">
        <v>38</v>
      </c>
      <c r="H34" s="1"/>
      <c r="I34" s="1"/>
      <c r="M34" s="1">
        <v>5</v>
      </c>
      <c r="N34" s="1">
        <v>130.33000000000001</v>
      </c>
      <c r="O34" s="1">
        <v>0</v>
      </c>
    </row>
    <row r="35" spans="1:18" x14ac:dyDescent="0.25">
      <c r="A35" s="1" t="s">
        <v>66</v>
      </c>
      <c r="B35" s="1">
        <v>23</v>
      </c>
      <c r="C35" s="1">
        <v>0</v>
      </c>
      <c r="D35" s="1"/>
      <c r="E35" s="1"/>
      <c r="F35" s="1">
        <v>0</v>
      </c>
      <c r="G35" s="1">
        <v>55</v>
      </c>
      <c r="H35" s="1"/>
      <c r="I35" s="1"/>
      <c r="M35" s="1">
        <v>153.78</v>
      </c>
      <c r="N35" s="1">
        <v>0</v>
      </c>
      <c r="O35" s="1">
        <v>0</v>
      </c>
    </row>
    <row r="36" spans="1:18" x14ac:dyDescent="0.25">
      <c r="A36" s="1" t="s">
        <v>71</v>
      </c>
      <c r="B36" s="1">
        <v>17</v>
      </c>
      <c r="C36" s="1">
        <v>5</v>
      </c>
      <c r="D36" s="1"/>
      <c r="E36" s="1"/>
      <c r="F36" s="1">
        <v>56</v>
      </c>
      <c r="G36" s="1">
        <v>56</v>
      </c>
      <c r="H36" s="1"/>
      <c r="I36" s="1"/>
      <c r="M36" s="1">
        <v>43.06</v>
      </c>
      <c r="N36" s="1">
        <v>100.65</v>
      </c>
      <c r="O36" s="1">
        <v>0</v>
      </c>
    </row>
    <row r="37" spans="1:18" x14ac:dyDescent="0.25">
      <c r="A37" s="1" t="s">
        <v>72</v>
      </c>
      <c r="B37" s="1">
        <v>6</v>
      </c>
      <c r="C37" s="1">
        <v>5</v>
      </c>
      <c r="D37" s="1"/>
      <c r="E37" s="1"/>
      <c r="F37" s="1">
        <v>57</v>
      </c>
      <c r="G37" s="1">
        <v>49</v>
      </c>
      <c r="H37" s="1"/>
      <c r="I37" s="1"/>
      <c r="M37" s="1">
        <v>78.36</v>
      </c>
      <c r="N37" s="1">
        <v>98.6</v>
      </c>
      <c r="O37" s="1">
        <v>0</v>
      </c>
    </row>
    <row r="38" spans="1:18" x14ac:dyDescent="0.25">
      <c r="A38" s="1" t="s">
        <v>75</v>
      </c>
      <c r="B38" s="1">
        <v>0</v>
      </c>
      <c r="C38" s="1">
        <v>7</v>
      </c>
      <c r="D38" s="1"/>
      <c r="E38" s="1"/>
      <c r="F38" s="1">
        <v>61</v>
      </c>
      <c r="G38" s="1">
        <v>0</v>
      </c>
      <c r="H38" s="1"/>
      <c r="I38" s="1"/>
      <c r="M38" s="1">
        <v>0</v>
      </c>
      <c r="N38" s="1">
        <v>129.88</v>
      </c>
      <c r="O38" s="1">
        <v>0</v>
      </c>
    </row>
    <row r="39" spans="1:18" x14ac:dyDescent="0.25">
      <c r="A39" s="1" t="s">
        <v>80</v>
      </c>
      <c r="B39" s="1">
        <v>0</v>
      </c>
      <c r="C39" s="1">
        <v>11</v>
      </c>
      <c r="D39" s="1"/>
      <c r="E39" s="1"/>
      <c r="F39" s="1">
        <v>53</v>
      </c>
      <c r="G39" s="1">
        <v>0</v>
      </c>
      <c r="H39" s="1"/>
      <c r="I39" s="1"/>
      <c r="M39" s="1">
        <v>0</v>
      </c>
      <c r="N39" s="1">
        <v>94.93</v>
      </c>
      <c r="O39" s="1">
        <v>0</v>
      </c>
    </row>
    <row r="40" spans="1:18" x14ac:dyDescent="0.25">
      <c r="A40" s="1" t="s">
        <v>83</v>
      </c>
      <c r="B40" s="1">
        <v>5</v>
      </c>
      <c r="C40" s="1">
        <v>8</v>
      </c>
      <c r="D40" s="1"/>
      <c r="E40" s="1"/>
      <c r="F40" s="1">
        <v>44</v>
      </c>
      <c r="G40" s="1">
        <v>34</v>
      </c>
      <c r="H40" s="1"/>
      <c r="I40" s="1"/>
      <c r="M40" s="1">
        <v>4.8499999999999996</v>
      </c>
      <c r="N40" s="1">
        <v>81.59</v>
      </c>
      <c r="O40" s="1">
        <v>0</v>
      </c>
    </row>
    <row r="41" spans="1:18" x14ac:dyDescent="0.25">
      <c r="A41" s="1" t="s">
        <v>86</v>
      </c>
      <c r="B41" s="1">
        <v>0</v>
      </c>
      <c r="C41" s="1">
        <v>8</v>
      </c>
      <c r="D41" s="1"/>
      <c r="E41" s="1"/>
      <c r="F41" s="1">
        <v>60</v>
      </c>
      <c r="G41" s="1">
        <v>0</v>
      </c>
      <c r="H41" s="1"/>
      <c r="I41" s="1"/>
      <c r="M41" s="1">
        <v>0</v>
      </c>
      <c r="N41" s="1">
        <v>140.36000000000001</v>
      </c>
      <c r="O41" s="1">
        <v>0</v>
      </c>
    </row>
    <row r="42" spans="1:18" x14ac:dyDescent="0.25">
      <c r="A42" s="1" t="s">
        <v>20</v>
      </c>
      <c r="B42" s="1">
        <v>8</v>
      </c>
      <c r="C42" s="1">
        <v>6</v>
      </c>
      <c r="D42" s="1"/>
      <c r="E42" s="1"/>
      <c r="F42" s="1"/>
      <c r="G42" s="1"/>
      <c r="H42" s="1">
        <v>77</v>
      </c>
      <c r="I42" s="1">
        <v>90</v>
      </c>
      <c r="P42" s="1">
        <v>58.63</v>
      </c>
      <c r="Q42" s="1">
        <v>314.58</v>
      </c>
      <c r="R42" s="1">
        <v>0</v>
      </c>
    </row>
    <row r="43" spans="1:18" x14ac:dyDescent="0.25">
      <c r="A43" s="1" t="s">
        <v>24</v>
      </c>
      <c r="B43" s="1">
        <v>27</v>
      </c>
      <c r="C43" s="1">
        <v>0</v>
      </c>
      <c r="D43" s="1"/>
      <c r="E43" s="1"/>
      <c r="F43" s="1"/>
      <c r="G43" s="1"/>
      <c r="H43" s="1">
        <v>0</v>
      </c>
      <c r="I43" s="1">
        <v>92</v>
      </c>
      <c r="P43" s="1">
        <v>371.93</v>
      </c>
      <c r="Q43" s="1">
        <v>0</v>
      </c>
      <c r="R43" s="1">
        <v>0</v>
      </c>
    </row>
    <row r="44" spans="1:18" x14ac:dyDescent="0.25">
      <c r="A44" s="1" t="s">
        <v>30</v>
      </c>
      <c r="B44" s="1">
        <v>5</v>
      </c>
      <c r="C44" s="1">
        <v>6</v>
      </c>
      <c r="D44" s="1"/>
      <c r="E44" s="1"/>
      <c r="F44" s="1"/>
      <c r="G44" s="1"/>
      <c r="H44" s="1">
        <v>76</v>
      </c>
      <c r="I44" s="1">
        <v>86</v>
      </c>
      <c r="P44" s="1">
        <v>79.16</v>
      </c>
      <c r="Q44" s="1">
        <v>375.01</v>
      </c>
      <c r="R44" s="1">
        <v>0</v>
      </c>
    </row>
    <row r="45" spans="1:18" x14ac:dyDescent="0.25">
      <c r="A45" s="1" t="s">
        <v>31</v>
      </c>
      <c r="B45" s="1">
        <v>0</v>
      </c>
      <c r="C45" s="1">
        <v>12</v>
      </c>
      <c r="D45" s="1"/>
      <c r="E45" s="1"/>
      <c r="F45" s="1"/>
      <c r="G45" s="1"/>
      <c r="H45" s="1">
        <v>79</v>
      </c>
      <c r="I45" s="1">
        <v>0</v>
      </c>
      <c r="P45" s="1">
        <v>0</v>
      </c>
      <c r="Q45" s="1">
        <v>384.19</v>
      </c>
      <c r="R45" s="1">
        <v>0</v>
      </c>
    </row>
    <row r="46" spans="1:18" x14ac:dyDescent="0.25">
      <c r="A46" s="1" t="s">
        <v>36</v>
      </c>
      <c r="B46" s="1">
        <v>9</v>
      </c>
      <c r="C46" s="1">
        <v>8</v>
      </c>
      <c r="D46" s="1"/>
      <c r="E46" s="1"/>
      <c r="F46" s="1"/>
      <c r="G46" s="1"/>
      <c r="H46" s="1">
        <v>79</v>
      </c>
      <c r="I46" s="1">
        <v>79</v>
      </c>
      <c r="P46" s="1">
        <v>13.85</v>
      </c>
      <c r="Q46" s="1">
        <v>451.44</v>
      </c>
      <c r="R46" s="1">
        <v>0</v>
      </c>
    </row>
    <row r="47" spans="1:18" x14ac:dyDescent="0.25">
      <c r="A47" s="1" t="s">
        <v>40</v>
      </c>
      <c r="B47" s="1">
        <v>32</v>
      </c>
      <c r="C47" s="1">
        <v>0</v>
      </c>
      <c r="D47" s="1"/>
      <c r="E47" s="1"/>
      <c r="F47" s="1"/>
      <c r="G47" s="1"/>
      <c r="H47" s="1">
        <v>0</v>
      </c>
      <c r="I47" s="1">
        <v>86</v>
      </c>
      <c r="P47" s="1">
        <v>444.77</v>
      </c>
      <c r="Q47" s="1">
        <v>0</v>
      </c>
      <c r="R47" s="1">
        <v>0</v>
      </c>
    </row>
    <row r="48" spans="1:18" x14ac:dyDescent="0.25">
      <c r="A48" s="1" t="s">
        <v>45</v>
      </c>
      <c r="B48" s="1">
        <v>16</v>
      </c>
      <c r="C48" s="1">
        <v>6</v>
      </c>
      <c r="D48" s="1"/>
      <c r="E48" s="1"/>
      <c r="F48" s="1"/>
      <c r="G48" s="1"/>
      <c r="H48" s="1">
        <v>74</v>
      </c>
      <c r="I48" s="1">
        <v>20</v>
      </c>
      <c r="P48" s="1">
        <v>1.1499999999999999</v>
      </c>
      <c r="Q48" s="1">
        <v>419.39</v>
      </c>
      <c r="R48" s="1">
        <v>0</v>
      </c>
    </row>
    <row r="49" spans="1:18" x14ac:dyDescent="0.25">
      <c r="A49" s="1" t="s">
        <v>49</v>
      </c>
      <c r="B49" s="1">
        <v>17</v>
      </c>
      <c r="C49" s="1">
        <v>0</v>
      </c>
      <c r="D49" s="1"/>
      <c r="E49" s="1"/>
      <c r="F49" s="1"/>
      <c r="G49" s="1"/>
      <c r="H49" s="1">
        <v>0</v>
      </c>
      <c r="I49" s="1">
        <v>94</v>
      </c>
      <c r="P49" s="1">
        <v>401.96</v>
      </c>
      <c r="Q49" s="1">
        <v>0</v>
      </c>
      <c r="R49" s="1">
        <v>0</v>
      </c>
    </row>
    <row r="50" spans="1:18" x14ac:dyDescent="0.25">
      <c r="A50" s="1" t="s">
        <v>51</v>
      </c>
      <c r="B50" s="1">
        <v>0</v>
      </c>
      <c r="C50" s="1">
        <v>11</v>
      </c>
      <c r="D50" s="1"/>
      <c r="E50" s="1"/>
      <c r="F50" s="1"/>
      <c r="G50" s="1"/>
      <c r="H50" s="1">
        <v>61</v>
      </c>
      <c r="I50" s="1">
        <v>0</v>
      </c>
      <c r="P50" s="1">
        <v>0</v>
      </c>
      <c r="Q50" s="1">
        <v>366.33</v>
      </c>
      <c r="R50" s="1">
        <v>0</v>
      </c>
    </row>
    <row r="51" spans="1:18" x14ac:dyDescent="0.25">
      <c r="A51" s="1" t="s">
        <v>53</v>
      </c>
      <c r="B51" s="1">
        <v>10</v>
      </c>
      <c r="C51" s="1">
        <v>9</v>
      </c>
      <c r="D51" s="1"/>
      <c r="E51" s="1"/>
      <c r="F51" s="1"/>
      <c r="G51" s="1"/>
      <c r="H51" s="1">
        <v>62</v>
      </c>
      <c r="I51" s="1">
        <v>101</v>
      </c>
      <c r="P51" s="1">
        <v>180.4</v>
      </c>
      <c r="Q51" s="1">
        <v>150.21</v>
      </c>
      <c r="R51" s="1">
        <v>0</v>
      </c>
    </row>
    <row r="52" spans="1:18" x14ac:dyDescent="0.25">
      <c r="A52" s="1" t="s">
        <v>59</v>
      </c>
      <c r="B52" s="1">
        <v>13</v>
      </c>
      <c r="C52" s="1">
        <v>4</v>
      </c>
      <c r="D52" s="1"/>
      <c r="E52" s="1"/>
      <c r="F52" s="1"/>
      <c r="G52" s="1"/>
      <c r="H52" s="1">
        <v>72</v>
      </c>
      <c r="I52" s="1">
        <v>94</v>
      </c>
      <c r="P52" s="1">
        <v>206.44</v>
      </c>
      <c r="Q52" s="1">
        <v>154.16</v>
      </c>
      <c r="R52" s="1">
        <v>0</v>
      </c>
    </row>
    <row r="53" spans="1:18" x14ac:dyDescent="0.25">
      <c r="A53" s="1" t="s">
        <v>62</v>
      </c>
      <c r="B53" s="1">
        <v>27</v>
      </c>
      <c r="C53" s="1">
        <v>0</v>
      </c>
      <c r="D53" s="1"/>
      <c r="E53" s="1"/>
      <c r="F53" s="1"/>
      <c r="G53" s="1"/>
      <c r="H53" s="1">
        <v>0</v>
      </c>
      <c r="I53" s="1">
        <v>80</v>
      </c>
      <c r="P53" s="1">
        <v>78.52</v>
      </c>
      <c r="Q53" s="1">
        <v>0</v>
      </c>
      <c r="R53" s="1">
        <v>0</v>
      </c>
    </row>
    <row r="54" spans="1:18" x14ac:dyDescent="0.25">
      <c r="A54" s="1" t="s">
        <v>63</v>
      </c>
      <c r="B54" s="1">
        <v>14</v>
      </c>
      <c r="C54" s="1">
        <v>9</v>
      </c>
      <c r="D54" s="1"/>
      <c r="E54" s="1"/>
      <c r="F54" s="1"/>
      <c r="G54" s="1"/>
      <c r="H54" s="1">
        <v>64</v>
      </c>
      <c r="I54" s="1">
        <v>90</v>
      </c>
      <c r="P54" s="1">
        <v>8.82</v>
      </c>
      <c r="Q54" s="1">
        <v>231.69</v>
      </c>
      <c r="R54" s="1">
        <v>0</v>
      </c>
    </row>
    <row r="55" spans="1:18" x14ac:dyDescent="0.25">
      <c r="A55" s="1" t="s">
        <v>67</v>
      </c>
      <c r="B55" s="1">
        <v>37</v>
      </c>
      <c r="C55" s="1">
        <v>0</v>
      </c>
      <c r="D55" s="1"/>
      <c r="E55" s="1"/>
      <c r="F55" s="1"/>
      <c r="G55" s="1"/>
      <c r="H55" s="1">
        <v>0</v>
      </c>
      <c r="I55" s="1">
        <v>98</v>
      </c>
      <c r="P55" s="1">
        <f>205.31+175.14</f>
        <v>380.45</v>
      </c>
      <c r="Q55" s="1">
        <v>0</v>
      </c>
      <c r="R55" s="1">
        <v>0</v>
      </c>
    </row>
    <row r="56" spans="1:18" x14ac:dyDescent="0.25">
      <c r="A56" s="1" t="s">
        <v>70</v>
      </c>
      <c r="B56" s="1">
        <v>11</v>
      </c>
      <c r="C56" s="1">
        <v>9</v>
      </c>
      <c r="D56" s="1"/>
      <c r="E56" s="1"/>
      <c r="F56" s="1"/>
      <c r="G56" s="1"/>
      <c r="H56" s="1">
        <v>87</v>
      </c>
      <c r="I56" s="1">
        <v>95</v>
      </c>
      <c r="P56" s="1">
        <v>77.760000000000005</v>
      </c>
      <c r="Q56" s="1">
        <v>251.93</v>
      </c>
      <c r="R56" s="1">
        <v>0</v>
      </c>
    </row>
    <row r="57" spans="1:18" x14ac:dyDescent="0.25">
      <c r="A57" s="1" t="s">
        <v>73</v>
      </c>
      <c r="B57" s="1">
        <v>13</v>
      </c>
      <c r="C57" s="1">
        <v>9</v>
      </c>
      <c r="D57" s="1"/>
      <c r="E57" s="1"/>
      <c r="F57" s="1"/>
      <c r="G57" s="1"/>
      <c r="H57" s="1">
        <v>72</v>
      </c>
      <c r="I57" s="1">
        <v>81</v>
      </c>
      <c r="P57" s="1">
        <v>169.54</v>
      </c>
      <c r="Q57" s="1">
        <v>130.66</v>
      </c>
      <c r="R57" s="1">
        <v>0</v>
      </c>
    </row>
    <row r="58" spans="1:18" x14ac:dyDescent="0.25">
      <c r="A58" s="1" t="s">
        <v>77</v>
      </c>
      <c r="B58" s="1">
        <v>0</v>
      </c>
      <c r="C58" s="1">
        <v>9</v>
      </c>
      <c r="D58" s="1"/>
      <c r="E58" s="1"/>
      <c r="F58" s="1"/>
      <c r="G58" s="1"/>
      <c r="H58" s="1">
        <v>62</v>
      </c>
      <c r="I58" s="1">
        <v>0</v>
      </c>
      <c r="P58" s="1">
        <v>0</v>
      </c>
      <c r="Q58" s="1">
        <f>165.76+68.88</f>
        <v>234.64</v>
      </c>
      <c r="R58" s="1">
        <v>0</v>
      </c>
    </row>
    <row r="59" spans="1:18" x14ac:dyDescent="0.25">
      <c r="A59" s="1" t="s">
        <v>79</v>
      </c>
      <c r="B59" s="1">
        <v>0</v>
      </c>
      <c r="C59" s="1">
        <v>10</v>
      </c>
      <c r="D59" s="1"/>
      <c r="E59" s="1"/>
      <c r="F59" s="1"/>
      <c r="G59" s="1"/>
      <c r="H59" s="1">
        <v>59</v>
      </c>
      <c r="I59" s="1">
        <v>0</v>
      </c>
      <c r="P59" s="1">
        <v>0</v>
      </c>
      <c r="Q59" s="1">
        <v>237.31</v>
      </c>
      <c r="R59" s="1">
        <v>0</v>
      </c>
    </row>
    <row r="60" spans="1:18" x14ac:dyDescent="0.25">
      <c r="A60" s="1" t="s">
        <v>82</v>
      </c>
      <c r="B60" s="1">
        <v>14</v>
      </c>
      <c r="C60" s="1">
        <v>4</v>
      </c>
      <c r="D60" s="1"/>
      <c r="E60" s="1"/>
      <c r="F60" s="1"/>
      <c r="G60" s="1"/>
      <c r="H60" s="1">
        <v>61</v>
      </c>
      <c r="I60" s="1">
        <v>80</v>
      </c>
      <c r="P60" s="1">
        <v>67.8</v>
      </c>
      <c r="Q60" s="1">
        <v>199.87</v>
      </c>
      <c r="R60" s="1">
        <v>0</v>
      </c>
    </row>
    <row r="61" spans="1:18" x14ac:dyDescent="0.25">
      <c r="A61" s="1" t="s">
        <v>84</v>
      </c>
      <c r="B61" s="1">
        <v>0</v>
      </c>
      <c r="C61" s="1">
        <v>10</v>
      </c>
      <c r="D61" s="1"/>
      <c r="E61" s="1"/>
      <c r="F61" s="1"/>
      <c r="G61" s="1"/>
      <c r="H61" s="1">
        <v>54</v>
      </c>
      <c r="I61" s="1">
        <v>0</v>
      </c>
      <c r="P61" s="1">
        <v>0</v>
      </c>
      <c r="Q61" s="1">
        <v>164.27</v>
      </c>
      <c r="R6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E800-CE0C-4CCC-B167-4E31FC344A55}">
  <dimension ref="A1:R81"/>
  <sheetViews>
    <sheetView tabSelected="1" topLeftCell="A46" workbookViewId="0">
      <selection activeCell="D86" sqref="D86"/>
    </sheetView>
  </sheetViews>
  <sheetFormatPr defaultRowHeight="15" x14ac:dyDescent="0.25"/>
  <cols>
    <col min="1" max="1" width="31.7109375" customWidth="1"/>
    <col min="2" max="4" width="18.85546875" customWidth="1"/>
    <col min="5" max="5" width="9" customWidth="1"/>
    <col min="9" max="9" width="41.42578125" bestFit="1" customWidth="1"/>
    <col min="14" max="14" width="41.42578125" bestFit="1" customWidth="1"/>
  </cols>
  <sheetData>
    <row r="1" spans="1:18" ht="15.75" thickBot="1" x14ac:dyDescent="0.3">
      <c r="A1" s="3" t="s">
        <v>247</v>
      </c>
      <c r="B1" t="s">
        <v>88</v>
      </c>
      <c r="C1" t="s">
        <v>89</v>
      </c>
      <c r="D1" t="s">
        <v>8</v>
      </c>
      <c r="E1" t="s">
        <v>7</v>
      </c>
      <c r="F1" t="s">
        <v>94</v>
      </c>
      <c r="G1" t="s">
        <v>97</v>
      </c>
      <c r="H1" t="s">
        <v>15</v>
      </c>
      <c r="I1" t="s">
        <v>90</v>
      </c>
      <c r="J1" t="s">
        <v>92</v>
      </c>
      <c r="K1" t="s">
        <v>95</v>
      </c>
      <c r="L1" t="s">
        <v>98</v>
      </c>
      <c r="M1" t="s">
        <v>100</v>
      </c>
      <c r="N1" t="s">
        <v>91</v>
      </c>
      <c r="O1" t="s">
        <v>93</v>
      </c>
      <c r="P1" t="s">
        <v>96</v>
      </c>
      <c r="Q1" t="s">
        <v>99</v>
      </c>
      <c r="R1" t="s">
        <v>101</v>
      </c>
    </row>
    <row r="2" spans="1:18" ht="15.75" thickBot="1" x14ac:dyDescent="0.3">
      <c r="A2" s="3" t="s">
        <v>127</v>
      </c>
      <c r="D2">
        <v>35</v>
      </c>
      <c r="E2">
        <v>35</v>
      </c>
      <c r="F2">
        <v>83</v>
      </c>
      <c r="G2">
        <v>56.9</v>
      </c>
      <c r="H2">
        <v>0</v>
      </c>
    </row>
    <row r="3" spans="1:18" ht="15.75" thickBot="1" x14ac:dyDescent="0.3">
      <c r="A3" s="3" t="s">
        <v>129</v>
      </c>
      <c r="D3">
        <v>0</v>
      </c>
      <c r="E3">
        <v>36</v>
      </c>
      <c r="F3">
        <v>0</v>
      </c>
      <c r="G3">
        <v>125</v>
      </c>
      <c r="H3">
        <v>0</v>
      </c>
    </row>
    <row r="4" spans="1:18" ht="15.75" thickBot="1" x14ac:dyDescent="0.3">
      <c r="A4" s="3" t="s">
        <v>131</v>
      </c>
      <c r="D4">
        <v>31</v>
      </c>
      <c r="E4">
        <v>28</v>
      </c>
      <c r="F4">
        <v>68</v>
      </c>
      <c r="G4">
        <v>55.1</v>
      </c>
      <c r="H4">
        <v>0</v>
      </c>
    </row>
    <row r="5" spans="1:18" ht="15.75" thickBot="1" x14ac:dyDescent="0.3">
      <c r="A5" s="3" t="s">
        <v>133</v>
      </c>
      <c r="D5">
        <v>0</v>
      </c>
      <c r="E5">
        <v>34</v>
      </c>
      <c r="F5">
        <v>0</v>
      </c>
      <c r="G5">
        <v>120.7</v>
      </c>
      <c r="H5">
        <v>0</v>
      </c>
    </row>
    <row r="6" spans="1:18" ht="15.75" thickBot="1" x14ac:dyDescent="0.3">
      <c r="A6" s="3" t="s">
        <v>135</v>
      </c>
      <c r="D6">
        <v>36</v>
      </c>
      <c r="E6">
        <v>34</v>
      </c>
      <c r="F6">
        <v>89.1</v>
      </c>
      <c r="G6">
        <v>62.5</v>
      </c>
      <c r="H6">
        <v>0</v>
      </c>
    </row>
    <row r="7" spans="1:18" ht="15.75" thickBot="1" x14ac:dyDescent="0.3">
      <c r="A7" s="3" t="s">
        <v>137</v>
      </c>
      <c r="D7">
        <v>36</v>
      </c>
      <c r="E7">
        <v>0</v>
      </c>
      <c r="F7">
        <v>137.6</v>
      </c>
      <c r="G7">
        <v>0</v>
      </c>
      <c r="H7">
        <v>0</v>
      </c>
    </row>
    <row r="8" spans="1:18" ht="15.75" thickBot="1" x14ac:dyDescent="0.3">
      <c r="A8" s="3" t="s">
        <v>139</v>
      </c>
      <c r="D8">
        <v>37</v>
      </c>
      <c r="E8">
        <v>0</v>
      </c>
      <c r="F8">
        <v>139</v>
      </c>
      <c r="G8">
        <v>0</v>
      </c>
      <c r="H8">
        <v>0</v>
      </c>
    </row>
    <row r="9" spans="1:18" ht="15.75" thickBot="1" x14ac:dyDescent="0.3">
      <c r="A9" s="3" t="s">
        <v>141</v>
      </c>
      <c r="D9">
        <v>37</v>
      </c>
      <c r="E9">
        <v>0</v>
      </c>
      <c r="F9">
        <v>128.30000000000001</v>
      </c>
      <c r="G9">
        <v>0</v>
      </c>
      <c r="H9">
        <v>0</v>
      </c>
    </row>
    <row r="10" spans="1:18" ht="15.75" thickBot="1" x14ac:dyDescent="0.3">
      <c r="A10" s="3" t="s">
        <v>143</v>
      </c>
      <c r="D10">
        <v>36</v>
      </c>
      <c r="E10">
        <v>38</v>
      </c>
      <c r="F10">
        <v>101.1</v>
      </c>
      <c r="G10">
        <v>60.7</v>
      </c>
      <c r="H10">
        <v>0</v>
      </c>
    </row>
    <row r="11" spans="1:18" ht="15.75" thickBot="1" x14ac:dyDescent="0.3">
      <c r="A11" s="3" t="s">
        <v>145</v>
      </c>
      <c r="D11">
        <v>34</v>
      </c>
      <c r="E11">
        <v>35</v>
      </c>
      <c r="F11">
        <v>96.6</v>
      </c>
      <c r="G11">
        <v>53</v>
      </c>
      <c r="H11">
        <v>0</v>
      </c>
    </row>
    <row r="12" spans="1:18" ht="15.75" thickBot="1" x14ac:dyDescent="0.3">
      <c r="A12" s="3" t="s">
        <v>147</v>
      </c>
      <c r="D12">
        <v>34</v>
      </c>
      <c r="E12">
        <v>35</v>
      </c>
      <c r="F12">
        <v>120.2</v>
      </c>
      <c r="G12">
        <v>55.7</v>
      </c>
      <c r="H12">
        <v>0</v>
      </c>
    </row>
    <row r="13" spans="1:18" ht="15.75" thickBot="1" x14ac:dyDescent="0.3">
      <c r="A13" s="3" t="s">
        <v>149</v>
      </c>
      <c r="D13">
        <v>37</v>
      </c>
      <c r="E13">
        <v>34</v>
      </c>
      <c r="F13">
        <v>98.2</v>
      </c>
      <c r="G13">
        <v>64.400000000000006</v>
      </c>
      <c r="H13">
        <v>0</v>
      </c>
    </row>
    <row r="14" spans="1:18" ht="15.75" thickBot="1" x14ac:dyDescent="0.3">
      <c r="A14" s="3" t="s">
        <v>151</v>
      </c>
      <c r="D14">
        <v>40</v>
      </c>
      <c r="E14">
        <v>34</v>
      </c>
      <c r="F14">
        <v>84.7</v>
      </c>
      <c r="G14">
        <v>75.099999999999994</v>
      </c>
      <c r="H14">
        <v>0</v>
      </c>
    </row>
    <row r="15" spans="1:18" ht="15.75" thickBot="1" x14ac:dyDescent="0.3">
      <c r="A15" s="3" t="s">
        <v>153</v>
      </c>
      <c r="D15">
        <v>46</v>
      </c>
      <c r="E15">
        <v>0</v>
      </c>
      <c r="F15">
        <v>172.8</v>
      </c>
      <c r="G15">
        <v>0</v>
      </c>
      <c r="H15">
        <v>0</v>
      </c>
    </row>
    <row r="16" spans="1:18" ht="15.75" thickBot="1" x14ac:dyDescent="0.3">
      <c r="A16" s="3" t="s">
        <v>155</v>
      </c>
      <c r="D16">
        <v>0</v>
      </c>
      <c r="E16">
        <v>33</v>
      </c>
      <c r="F16">
        <v>0</v>
      </c>
      <c r="G16">
        <v>108.8</v>
      </c>
      <c r="H16">
        <v>0</v>
      </c>
    </row>
    <row r="17" spans="1:13" ht="15.75" thickBot="1" x14ac:dyDescent="0.3">
      <c r="A17" s="3" t="s">
        <v>157</v>
      </c>
      <c r="D17">
        <v>0</v>
      </c>
      <c r="E17">
        <v>36</v>
      </c>
      <c r="F17">
        <v>0</v>
      </c>
      <c r="G17">
        <v>127</v>
      </c>
      <c r="H17">
        <v>0</v>
      </c>
    </row>
    <row r="18" spans="1:13" ht="15.75" thickBot="1" x14ac:dyDescent="0.3">
      <c r="A18" s="3" t="s">
        <v>159</v>
      </c>
      <c r="D18">
        <v>37</v>
      </c>
      <c r="E18">
        <v>36</v>
      </c>
      <c r="F18">
        <v>105.1</v>
      </c>
      <c r="G18">
        <v>67.400000000000006</v>
      </c>
      <c r="H18">
        <v>0</v>
      </c>
    </row>
    <row r="19" spans="1:13" ht="15.75" thickBot="1" x14ac:dyDescent="0.3">
      <c r="A19" s="3" t="s">
        <v>161</v>
      </c>
      <c r="D19">
        <v>0</v>
      </c>
      <c r="E19">
        <v>28</v>
      </c>
      <c r="F19">
        <v>0</v>
      </c>
      <c r="G19">
        <v>115.6</v>
      </c>
      <c r="H19">
        <v>0</v>
      </c>
    </row>
    <row r="20" spans="1:13" ht="15.75" thickBot="1" x14ac:dyDescent="0.3">
      <c r="A20" s="3" t="s">
        <v>163</v>
      </c>
      <c r="D20">
        <v>42</v>
      </c>
      <c r="E20">
        <v>0</v>
      </c>
      <c r="F20">
        <v>173.8</v>
      </c>
      <c r="G20">
        <v>0</v>
      </c>
      <c r="H20">
        <v>0</v>
      </c>
    </row>
    <row r="21" spans="1:13" ht="15.75" thickBot="1" x14ac:dyDescent="0.3">
      <c r="A21" s="3" t="s">
        <v>165</v>
      </c>
      <c r="D21">
        <v>38</v>
      </c>
      <c r="E21">
        <v>39</v>
      </c>
      <c r="F21">
        <v>96</v>
      </c>
      <c r="G21">
        <v>65.099999999999994</v>
      </c>
      <c r="H21">
        <v>0</v>
      </c>
    </row>
    <row r="22" spans="1:13" ht="15.75" thickBot="1" x14ac:dyDescent="0.3">
      <c r="A22" s="3" t="s">
        <v>167</v>
      </c>
      <c r="I22">
        <v>68</v>
      </c>
      <c r="J22">
        <v>50</v>
      </c>
      <c r="K22">
        <v>184</v>
      </c>
      <c r="L22">
        <v>76.599999999999994</v>
      </c>
      <c r="M22">
        <v>0</v>
      </c>
    </row>
    <row r="23" spans="1:13" ht="15.75" thickBot="1" x14ac:dyDescent="0.3">
      <c r="A23" s="3" t="s">
        <v>169</v>
      </c>
      <c r="I23">
        <v>0</v>
      </c>
      <c r="J23">
        <v>60</v>
      </c>
      <c r="K23">
        <v>0</v>
      </c>
      <c r="L23">
        <v>234.4</v>
      </c>
      <c r="M23">
        <v>0</v>
      </c>
    </row>
    <row r="24" spans="1:13" ht="15.75" thickBot="1" x14ac:dyDescent="0.3">
      <c r="A24" s="3" t="s">
        <v>171</v>
      </c>
      <c r="I24">
        <v>64</v>
      </c>
      <c r="J24">
        <v>52</v>
      </c>
      <c r="K24">
        <v>153.9</v>
      </c>
      <c r="L24">
        <v>52.6</v>
      </c>
      <c r="M24">
        <v>0</v>
      </c>
    </row>
    <row r="25" spans="1:13" ht="15.75" thickBot="1" x14ac:dyDescent="0.3">
      <c r="A25" s="3" t="s">
        <v>173</v>
      </c>
      <c r="I25">
        <v>0</v>
      </c>
      <c r="J25">
        <v>61</v>
      </c>
      <c r="K25">
        <v>0</v>
      </c>
      <c r="L25">
        <v>243</v>
      </c>
      <c r="M25">
        <v>0</v>
      </c>
    </row>
    <row r="26" spans="1:13" ht="15.75" thickBot="1" x14ac:dyDescent="0.3">
      <c r="A26" s="3" t="s">
        <v>175</v>
      </c>
      <c r="I26">
        <v>65</v>
      </c>
      <c r="J26">
        <v>50</v>
      </c>
      <c r="K26">
        <v>164.4</v>
      </c>
      <c r="L26">
        <v>66.8</v>
      </c>
      <c r="M26">
        <v>0</v>
      </c>
    </row>
    <row r="27" spans="1:13" ht="15.75" thickBot="1" x14ac:dyDescent="0.3">
      <c r="A27" s="3" t="s">
        <v>177</v>
      </c>
      <c r="I27">
        <v>64</v>
      </c>
      <c r="J27">
        <v>0</v>
      </c>
      <c r="K27">
        <v>226.5</v>
      </c>
      <c r="L27">
        <v>0</v>
      </c>
      <c r="M27">
        <v>0</v>
      </c>
    </row>
    <row r="28" spans="1:13" ht="15.75" thickBot="1" x14ac:dyDescent="0.3">
      <c r="A28" s="3" t="s">
        <v>179</v>
      </c>
      <c r="I28">
        <v>67</v>
      </c>
      <c r="J28">
        <v>0</v>
      </c>
      <c r="K28">
        <v>281.2</v>
      </c>
      <c r="L28">
        <v>0</v>
      </c>
      <c r="M28">
        <v>0</v>
      </c>
    </row>
    <row r="29" spans="1:13" ht="15.75" thickBot="1" x14ac:dyDescent="0.3">
      <c r="A29" s="3" t="s">
        <v>181</v>
      </c>
      <c r="I29">
        <v>61</v>
      </c>
      <c r="J29">
        <v>0</v>
      </c>
      <c r="K29">
        <v>261.5</v>
      </c>
      <c r="L29">
        <v>0</v>
      </c>
      <c r="M29">
        <v>0</v>
      </c>
    </row>
    <row r="30" spans="1:13" ht="15.75" thickBot="1" x14ac:dyDescent="0.3">
      <c r="A30" s="3" t="s">
        <v>183</v>
      </c>
      <c r="I30">
        <v>63</v>
      </c>
      <c r="J30">
        <v>51</v>
      </c>
      <c r="K30">
        <v>158.19999999999999</v>
      </c>
      <c r="L30">
        <v>59.1</v>
      </c>
      <c r="M30">
        <v>0</v>
      </c>
    </row>
    <row r="31" spans="1:13" ht="15.75" thickBot="1" x14ac:dyDescent="0.3">
      <c r="A31" s="3" t="s">
        <v>185</v>
      </c>
      <c r="I31">
        <v>61</v>
      </c>
      <c r="J31">
        <v>50</v>
      </c>
      <c r="K31">
        <v>152.69999999999999</v>
      </c>
      <c r="L31">
        <v>73.400000000000006</v>
      </c>
      <c r="M31">
        <v>0</v>
      </c>
    </row>
    <row r="32" spans="1:13" ht="15.75" thickBot="1" x14ac:dyDescent="0.3">
      <c r="A32" s="3" t="s">
        <v>187</v>
      </c>
      <c r="I32">
        <v>65</v>
      </c>
      <c r="J32">
        <v>50</v>
      </c>
      <c r="K32">
        <v>184.4</v>
      </c>
      <c r="L32">
        <v>57.9</v>
      </c>
      <c r="M32">
        <v>0</v>
      </c>
    </row>
    <row r="33" spans="1:18" ht="15.75" thickBot="1" x14ac:dyDescent="0.3">
      <c r="A33" s="3" t="s">
        <v>189</v>
      </c>
      <c r="I33">
        <v>67</v>
      </c>
      <c r="J33">
        <v>50</v>
      </c>
      <c r="K33">
        <v>195.5</v>
      </c>
      <c r="L33">
        <v>79.5</v>
      </c>
      <c r="M33">
        <v>0</v>
      </c>
    </row>
    <row r="34" spans="1:18" ht="15.75" thickBot="1" x14ac:dyDescent="0.3">
      <c r="A34" s="3" t="s">
        <v>191</v>
      </c>
      <c r="I34">
        <v>66</v>
      </c>
      <c r="J34">
        <v>45</v>
      </c>
      <c r="K34">
        <v>255.5</v>
      </c>
      <c r="L34">
        <v>33</v>
      </c>
      <c r="M34">
        <v>0</v>
      </c>
    </row>
    <row r="35" spans="1:18" ht="15.75" thickBot="1" x14ac:dyDescent="0.3">
      <c r="A35" s="3" t="s">
        <v>193</v>
      </c>
      <c r="I35">
        <v>72</v>
      </c>
      <c r="J35">
        <v>0</v>
      </c>
      <c r="K35">
        <v>304.8</v>
      </c>
      <c r="L35">
        <v>0</v>
      </c>
      <c r="M35">
        <v>0</v>
      </c>
    </row>
    <row r="36" spans="1:18" ht="15.75" thickBot="1" x14ac:dyDescent="0.3">
      <c r="A36" s="3" t="s">
        <v>195</v>
      </c>
      <c r="I36">
        <v>0</v>
      </c>
      <c r="J36">
        <v>62</v>
      </c>
      <c r="K36">
        <v>0</v>
      </c>
      <c r="L36">
        <v>238.8</v>
      </c>
      <c r="M36">
        <v>0</v>
      </c>
    </row>
    <row r="37" spans="1:18" ht="15.75" thickBot="1" x14ac:dyDescent="0.3">
      <c r="A37" s="3" t="s">
        <v>197</v>
      </c>
      <c r="I37">
        <v>0</v>
      </c>
      <c r="J37">
        <v>59</v>
      </c>
      <c r="K37">
        <v>0</v>
      </c>
      <c r="L37">
        <v>205.2</v>
      </c>
      <c r="M37">
        <v>0</v>
      </c>
    </row>
    <row r="38" spans="1:18" ht="15.75" thickBot="1" x14ac:dyDescent="0.3">
      <c r="A38" s="3" t="s">
        <v>199</v>
      </c>
      <c r="I38">
        <v>71</v>
      </c>
      <c r="J38">
        <v>50</v>
      </c>
      <c r="K38">
        <v>212.2</v>
      </c>
      <c r="L38">
        <v>56.5</v>
      </c>
      <c r="M38">
        <v>0</v>
      </c>
    </row>
    <row r="39" spans="1:18" ht="15.75" thickBot="1" x14ac:dyDescent="0.3">
      <c r="A39" s="3" t="s">
        <v>201</v>
      </c>
      <c r="I39">
        <v>0</v>
      </c>
      <c r="J39">
        <v>59</v>
      </c>
      <c r="K39">
        <v>0</v>
      </c>
      <c r="L39">
        <v>232.8</v>
      </c>
      <c r="M39">
        <v>0</v>
      </c>
    </row>
    <row r="40" spans="1:18" ht="15.75" thickBot="1" x14ac:dyDescent="0.3">
      <c r="A40" s="3" t="s">
        <v>203</v>
      </c>
      <c r="I40">
        <v>73</v>
      </c>
      <c r="J40">
        <v>0</v>
      </c>
      <c r="K40">
        <v>345.4</v>
      </c>
      <c r="L40">
        <v>0</v>
      </c>
      <c r="M40">
        <v>0</v>
      </c>
    </row>
    <row r="41" spans="1:18" ht="15.75" thickBot="1" x14ac:dyDescent="0.3">
      <c r="A41" s="3" t="s">
        <v>205</v>
      </c>
      <c r="I41">
        <v>71</v>
      </c>
      <c r="J41">
        <v>51</v>
      </c>
      <c r="K41">
        <v>238.7</v>
      </c>
      <c r="L41">
        <v>86.7</v>
      </c>
      <c r="M41">
        <v>0</v>
      </c>
    </row>
    <row r="42" spans="1:18" ht="15.75" thickBot="1" x14ac:dyDescent="0.3">
      <c r="A42" s="3" t="s">
        <v>207</v>
      </c>
      <c r="N42">
        <v>98</v>
      </c>
      <c r="O42">
        <v>60</v>
      </c>
      <c r="P42">
        <v>411.3</v>
      </c>
      <c r="Q42">
        <v>141</v>
      </c>
      <c r="R42">
        <v>0</v>
      </c>
    </row>
    <row r="43" spans="1:18" ht="15.75" thickBot="1" x14ac:dyDescent="0.3">
      <c r="A43" s="3" t="s">
        <v>209</v>
      </c>
      <c r="N43">
        <v>0</v>
      </c>
      <c r="O43">
        <v>92</v>
      </c>
      <c r="P43">
        <v>0</v>
      </c>
      <c r="Q43">
        <v>465.5</v>
      </c>
      <c r="R43">
        <v>0</v>
      </c>
    </row>
    <row r="44" spans="1:18" ht="15.75" thickBot="1" x14ac:dyDescent="0.3">
      <c r="A44" s="3" t="s">
        <v>211</v>
      </c>
      <c r="N44">
        <v>96</v>
      </c>
      <c r="O44">
        <v>60</v>
      </c>
      <c r="P44">
        <v>382.8</v>
      </c>
      <c r="Q44">
        <v>172.5</v>
      </c>
      <c r="R44">
        <v>0</v>
      </c>
    </row>
    <row r="45" spans="1:18" ht="15.75" thickBot="1" x14ac:dyDescent="0.3">
      <c r="A45" s="3" t="s">
        <v>213</v>
      </c>
      <c r="N45">
        <v>0</v>
      </c>
      <c r="O45">
        <v>62</v>
      </c>
      <c r="P45">
        <v>0</v>
      </c>
      <c r="Q45">
        <v>418.8</v>
      </c>
      <c r="R45">
        <v>0</v>
      </c>
    </row>
    <row r="46" spans="1:18" ht="15.75" thickBot="1" x14ac:dyDescent="0.3">
      <c r="A46" s="3" t="s">
        <v>215</v>
      </c>
      <c r="N46">
        <v>97</v>
      </c>
      <c r="O46">
        <v>77</v>
      </c>
      <c r="P46">
        <v>351.2</v>
      </c>
      <c r="Q46">
        <v>161.1</v>
      </c>
      <c r="R46">
        <v>0</v>
      </c>
    </row>
    <row r="47" spans="1:18" ht="15.75" thickBot="1" x14ac:dyDescent="0.3">
      <c r="A47" s="3" t="s">
        <v>217</v>
      </c>
      <c r="N47">
        <v>96</v>
      </c>
      <c r="O47">
        <v>0</v>
      </c>
      <c r="P47">
        <v>630.9</v>
      </c>
      <c r="Q47">
        <v>0</v>
      </c>
      <c r="R47">
        <v>0</v>
      </c>
    </row>
    <row r="48" spans="1:18" ht="15.75" thickBot="1" x14ac:dyDescent="0.3">
      <c r="A48" s="3" t="s">
        <v>219</v>
      </c>
      <c r="N48">
        <v>102</v>
      </c>
      <c r="O48">
        <v>0</v>
      </c>
      <c r="P48">
        <v>557.4</v>
      </c>
      <c r="Q48">
        <v>0</v>
      </c>
      <c r="R48">
        <v>0</v>
      </c>
    </row>
    <row r="49" spans="1:18" ht="15.75" thickBot="1" x14ac:dyDescent="0.3">
      <c r="A49" s="3" t="s">
        <v>221</v>
      </c>
      <c r="N49">
        <v>99</v>
      </c>
      <c r="O49">
        <v>0</v>
      </c>
      <c r="P49">
        <v>530</v>
      </c>
      <c r="Q49">
        <v>0</v>
      </c>
      <c r="R49">
        <v>0</v>
      </c>
    </row>
    <row r="50" spans="1:18" ht="15.75" thickBot="1" x14ac:dyDescent="0.3">
      <c r="A50" s="3" t="s">
        <v>223</v>
      </c>
      <c r="N50">
        <v>97</v>
      </c>
      <c r="O50">
        <v>60</v>
      </c>
      <c r="P50">
        <v>483.2</v>
      </c>
      <c r="Q50">
        <v>156.1</v>
      </c>
      <c r="R50">
        <v>0</v>
      </c>
    </row>
    <row r="51" spans="1:18" ht="15.75" thickBot="1" x14ac:dyDescent="0.3">
      <c r="A51" s="3" t="s">
        <v>225</v>
      </c>
      <c r="N51">
        <v>96</v>
      </c>
      <c r="O51">
        <v>60</v>
      </c>
      <c r="P51">
        <v>279.8</v>
      </c>
      <c r="Q51">
        <v>218.6</v>
      </c>
      <c r="R51">
        <v>0</v>
      </c>
    </row>
    <row r="52" spans="1:18" ht="15.75" thickBot="1" x14ac:dyDescent="0.3">
      <c r="A52" s="3" t="s">
        <v>227</v>
      </c>
      <c r="N52">
        <v>103</v>
      </c>
      <c r="O52">
        <v>50</v>
      </c>
      <c r="P52">
        <v>385.9</v>
      </c>
      <c r="Q52">
        <v>129.5</v>
      </c>
      <c r="R52">
        <v>0</v>
      </c>
    </row>
    <row r="53" spans="1:18" ht="15.75" thickBot="1" x14ac:dyDescent="0.3">
      <c r="A53" s="3" t="s">
        <v>229</v>
      </c>
      <c r="N53">
        <v>94</v>
      </c>
      <c r="O53">
        <v>63</v>
      </c>
      <c r="P53">
        <v>307.5</v>
      </c>
      <c r="Q53">
        <v>206.9</v>
      </c>
      <c r="R53">
        <v>0</v>
      </c>
    </row>
    <row r="54" spans="1:18" ht="15.75" thickBot="1" x14ac:dyDescent="0.3">
      <c r="A54" s="3" t="s">
        <v>231</v>
      </c>
      <c r="N54">
        <v>105</v>
      </c>
      <c r="O54">
        <v>60</v>
      </c>
      <c r="P54">
        <v>485.3</v>
      </c>
      <c r="Q54">
        <v>110.9</v>
      </c>
      <c r="R54">
        <v>0</v>
      </c>
    </row>
    <row r="55" spans="1:18" ht="15.75" thickBot="1" x14ac:dyDescent="0.3">
      <c r="A55" s="3" t="s">
        <v>233</v>
      </c>
      <c r="N55">
        <v>108</v>
      </c>
      <c r="O55">
        <v>0</v>
      </c>
      <c r="P55">
        <v>561.70000000000005</v>
      </c>
      <c r="Q55">
        <v>0</v>
      </c>
      <c r="R55">
        <v>0</v>
      </c>
    </row>
    <row r="56" spans="1:18" ht="15.75" thickBot="1" x14ac:dyDescent="0.3">
      <c r="A56" s="3" t="s">
        <v>235</v>
      </c>
      <c r="N56">
        <v>0</v>
      </c>
      <c r="O56">
        <v>80</v>
      </c>
      <c r="P56">
        <v>0</v>
      </c>
      <c r="Q56">
        <v>783.7</v>
      </c>
      <c r="R56">
        <v>0</v>
      </c>
    </row>
    <row r="57" spans="1:18" ht="15.75" thickBot="1" x14ac:dyDescent="0.3">
      <c r="A57" s="3" t="s">
        <v>237</v>
      </c>
      <c r="N57">
        <v>0</v>
      </c>
      <c r="O57">
        <v>75</v>
      </c>
      <c r="P57">
        <v>0</v>
      </c>
      <c r="Q57">
        <v>700.6</v>
      </c>
      <c r="R57">
        <v>0</v>
      </c>
    </row>
    <row r="58" spans="1:18" ht="15.75" thickBot="1" x14ac:dyDescent="0.3">
      <c r="A58" s="3" t="s">
        <v>239</v>
      </c>
      <c r="N58">
        <v>110</v>
      </c>
      <c r="O58">
        <v>60</v>
      </c>
      <c r="P58">
        <v>476.7</v>
      </c>
      <c r="Q58">
        <v>149.5</v>
      </c>
      <c r="R58">
        <v>0</v>
      </c>
    </row>
    <row r="59" spans="1:18" ht="15.75" thickBot="1" x14ac:dyDescent="0.3">
      <c r="A59" s="3" t="s">
        <v>241</v>
      </c>
      <c r="N59">
        <v>0</v>
      </c>
      <c r="O59">
        <v>62</v>
      </c>
      <c r="P59">
        <v>0</v>
      </c>
      <c r="Q59">
        <v>743.5</v>
      </c>
      <c r="R59">
        <v>0</v>
      </c>
    </row>
    <row r="60" spans="1:18" ht="15.75" thickBot="1" x14ac:dyDescent="0.3">
      <c r="A60" s="3" t="s">
        <v>243</v>
      </c>
      <c r="N60">
        <v>105</v>
      </c>
      <c r="O60">
        <v>0</v>
      </c>
      <c r="P60">
        <v>580.4</v>
      </c>
      <c r="Q60">
        <v>0</v>
      </c>
      <c r="R60">
        <v>0</v>
      </c>
    </row>
    <row r="61" spans="1:18" ht="15.75" thickBot="1" x14ac:dyDescent="0.3">
      <c r="A61" s="3" t="s">
        <v>245</v>
      </c>
      <c r="N61">
        <v>109</v>
      </c>
      <c r="O61">
        <v>58</v>
      </c>
      <c r="P61">
        <v>514.9</v>
      </c>
      <c r="Q61">
        <v>121.3</v>
      </c>
      <c r="R61">
        <v>0</v>
      </c>
    </row>
    <row r="62" spans="1:18" x14ac:dyDescent="0.25">
      <c r="A62" t="s">
        <v>417</v>
      </c>
      <c r="B62">
        <v>19</v>
      </c>
      <c r="C62">
        <v>6</v>
      </c>
    </row>
    <row r="63" spans="1:18" x14ac:dyDescent="0.25">
      <c r="A63" t="s">
        <v>418</v>
      </c>
      <c r="B63">
        <v>0</v>
      </c>
      <c r="C63">
        <v>15</v>
      </c>
    </row>
    <row r="64" spans="1:18" x14ac:dyDescent="0.25">
      <c r="A64" t="s">
        <v>419</v>
      </c>
      <c r="B64">
        <v>16</v>
      </c>
      <c r="C64">
        <v>7</v>
      </c>
    </row>
    <row r="65" spans="1:3" x14ac:dyDescent="0.25">
      <c r="A65" t="s">
        <v>420</v>
      </c>
      <c r="B65">
        <v>0</v>
      </c>
      <c r="C65">
        <v>22</v>
      </c>
    </row>
    <row r="66" spans="1:3" x14ac:dyDescent="0.25">
      <c r="A66" t="s">
        <v>421</v>
      </c>
      <c r="B66">
        <v>13</v>
      </c>
      <c r="C66">
        <v>9</v>
      </c>
    </row>
    <row r="67" spans="1:3" x14ac:dyDescent="0.25">
      <c r="A67" t="s">
        <v>422</v>
      </c>
      <c r="B67">
        <v>22</v>
      </c>
      <c r="C67">
        <v>0</v>
      </c>
    </row>
    <row r="68" spans="1:3" x14ac:dyDescent="0.25">
      <c r="A68" t="s">
        <v>423</v>
      </c>
      <c r="B68">
        <v>22</v>
      </c>
      <c r="C68">
        <v>0</v>
      </c>
    </row>
    <row r="69" spans="1:3" x14ac:dyDescent="0.25">
      <c r="A69" t="s">
        <v>424</v>
      </c>
      <c r="B69">
        <v>23</v>
      </c>
      <c r="C69">
        <v>0</v>
      </c>
    </row>
    <row r="70" spans="1:3" x14ac:dyDescent="0.25">
      <c r="A70" t="s">
        <v>425</v>
      </c>
      <c r="B70">
        <v>12</v>
      </c>
      <c r="C70">
        <v>6</v>
      </c>
    </row>
    <row r="71" spans="1:3" x14ac:dyDescent="0.25">
      <c r="A71" t="s">
        <v>426</v>
      </c>
      <c r="B71">
        <v>13</v>
      </c>
      <c r="C71">
        <v>5</v>
      </c>
    </row>
    <row r="72" spans="1:3" x14ac:dyDescent="0.25">
      <c r="A72" t="s">
        <v>427</v>
      </c>
      <c r="B72">
        <v>14</v>
      </c>
      <c r="C72">
        <v>5</v>
      </c>
    </row>
    <row r="73" spans="1:3" x14ac:dyDescent="0.25">
      <c r="A73" t="s">
        <v>428</v>
      </c>
      <c r="B73">
        <v>14</v>
      </c>
      <c r="C73">
        <v>9</v>
      </c>
    </row>
    <row r="74" spans="1:3" x14ac:dyDescent="0.25">
      <c r="A74" t="s">
        <v>429</v>
      </c>
      <c r="B74">
        <v>6</v>
      </c>
      <c r="C74">
        <v>8</v>
      </c>
    </row>
    <row r="75" spans="1:3" x14ac:dyDescent="0.25">
      <c r="A75" t="s">
        <v>430</v>
      </c>
      <c r="B75">
        <v>26</v>
      </c>
      <c r="C75">
        <v>0</v>
      </c>
    </row>
    <row r="76" spans="1:3" x14ac:dyDescent="0.25">
      <c r="A76" t="s">
        <v>431</v>
      </c>
      <c r="B76">
        <v>0</v>
      </c>
      <c r="C76">
        <v>12</v>
      </c>
    </row>
    <row r="77" spans="1:3" x14ac:dyDescent="0.25">
      <c r="A77" t="s">
        <v>432</v>
      </c>
      <c r="B77">
        <v>0</v>
      </c>
      <c r="C77">
        <v>15</v>
      </c>
    </row>
    <row r="78" spans="1:3" x14ac:dyDescent="0.25">
      <c r="A78" t="s">
        <v>433</v>
      </c>
      <c r="B78">
        <v>20</v>
      </c>
      <c r="C78">
        <v>5</v>
      </c>
    </row>
    <row r="79" spans="1:3" x14ac:dyDescent="0.25">
      <c r="A79" t="s">
        <v>434</v>
      </c>
      <c r="B79">
        <v>0</v>
      </c>
      <c r="C79">
        <v>10</v>
      </c>
    </row>
    <row r="80" spans="1:3" x14ac:dyDescent="0.25">
      <c r="A80" t="s">
        <v>435</v>
      </c>
      <c r="B80">
        <v>26</v>
      </c>
      <c r="C80">
        <v>0</v>
      </c>
    </row>
    <row r="81" spans="1:3" x14ac:dyDescent="0.25">
      <c r="A81" t="s">
        <v>436</v>
      </c>
      <c r="B81">
        <v>18</v>
      </c>
      <c r="C8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1730-CD93-408B-A10D-145ED86B6D8B}">
  <dimension ref="A1:AG61"/>
  <sheetViews>
    <sheetView workbookViewId="0">
      <selection activeCell="E28" sqref="E28"/>
    </sheetView>
  </sheetViews>
  <sheetFormatPr defaultColWidth="33.140625" defaultRowHeight="15" x14ac:dyDescent="0.25"/>
  <cols>
    <col min="1" max="1" width="27" bestFit="1" customWidth="1"/>
    <col min="2" max="2" width="10.5703125" bestFit="1" customWidth="1"/>
    <col min="3" max="3" width="13.5703125" bestFit="1" customWidth="1"/>
    <col min="4" max="4" width="44.7109375" bestFit="1" customWidth="1"/>
    <col min="5" max="5" width="48.140625" bestFit="1" customWidth="1"/>
    <col min="6" max="6" width="15.5703125" bestFit="1" customWidth="1"/>
    <col min="7" max="9" width="10" bestFit="1" customWidth="1"/>
    <col min="10" max="10" width="39.85546875" bestFit="1" customWidth="1"/>
    <col min="11" max="11" width="36.5703125" bestFit="1" customWidth="1"/>
    <col min="12" max="12" width="31.140625" bestFit="1" customWidth="1"/>
    <col min="13" max="13" width="27.140625" bestFit="1" customWidth="1"/>
    <col min="14" max="14" width="31.140625" bestFit="1" customWidth="1"/>
    <col min="15" max="15" width="27.140625" bestFit="1" customWidth="1"/>
    <col min="16" max="16" width="23" bestFit="1" customWidth="1"/>
    <col min="17" max="17" width="26" bestFit="1" customWidth="1"/>
    <col min="18" max="18" width="27.5703125" bestFit="1" customWidth="1"/>
    <col min="28" max="28" width="44.7109375" bestFit="1" customWidth="1"/>
    <col min="29" max="29" width="48.140625" bestFit="1" customWidth="1"/>
    <col min="38" max="38" width="53" bestFit="1" customWidth="1"/>
    <col min="39" max="39" width="56.5703125" bestFit="1" customWidth="1"/>
    <col min="40" max="40" width="58.42578125" bestFit="1" customWidth="1"/>
    <col min="41" max="41" width="53" bestFit="1" customWidth="1"/>
    <col min="42" max="42" width="56.5703125" bestFit="1" customWidth="1"/>
    <col min="43" max="43" width="58.42578125" bestFit="1" customWidth="1"/>
    <col min="44" max="44" width="53" bestFit="1" customWidth="1"/>
    <col min="45" max="45" width="56.5703125" bestFit="1" customWidth="1"/>
    <col min="46" max="46" width="58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t="s">
        <v>88</v>
      </c>
      <c r="E1" t="s">
        <v>89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1" t="s">
        <v>87</v>
      </c>
      <c r="S1" t="s">
        <v>94</v>
      </c>
      <c r="T1" t="s">
        <v>97</v>
      </c>
      <c r="U1" t="s">
        <v>15</v>
      </c>
      <c r="V1" t="s">
        <v>95</v>
      </c>
      <c r="W1" t="s">
        <v>98</v>
      </c>
      <c r="X1" t="s">
        <v>100</v>
      </c>
      <c r="Y1" t="s">
        <v>96</v>
      </c>
      <c r="Z1" t="s">
        <v>99</v>
      </c>
      <c r="AA1" t="s">
        <v>101</v>
      </c>
    </row>
    <row r="2" spans="1:33" x14ac:dyDescent="0.25">
      <c r="A2" s="1" t="s">
        <v>16</v>
      </c>
      <c r="B2" s="1">
        <v>20</v>
      </c>
      <c r="C2" s="1">
        <v>1</v>
      </c>
      <c r="D2" s="1">
        <v>10</v>
      </c>
      <c r="E2" s="1">
        <v>5</v>
      </c>
      <c r="F2" s="1">
        <v>1</v>
      </c>
      <c r="G2" s="1">
        <v>1</v>
      </c>
      <c r="H2" s="1" t="s">
        <v>19</v>
      </c>
      <c r="I2" s="1" t="s">
        <v>19</v>
      </c>
      <c r="J2" s="1">
        <v>20</v>
      </c>
      <c r="K2" s="1">
        <v>18</v>
      </c>
      <c r="L2" s="1"/>
      <c r="M2" s="1"/>
      <c r="N2" s="1"/>
      <c r="O2" s="1"/>
      <c r="P2" s="1">
        <v>21.84</v>
      </c>
      <c r="Q2" s="1">
        <v>37.21</v>
      </c>
      <c r="R2" s="1">
        <v>0</v>
      </c>
      <c r="S2" s="1">
        <v>21.84</v>
      </c>
      <c r="T2" s="1">
        <v>37.21</v>
      </c>
      <c r="U2" s="1">
        <v>0</v>
      </c>
    </row>
    <row r="3" spans="1:33" x14ac:dyDescent="0.25">
      <c r="A3" s="1" t="s">
        <v>22</v>
      </c>
      <c r="B3" s="1">
        <v>19</v>
      </c>
      <c r="C3" s="1">
        <v>1</v>
      </c>
      <c r="D3" s="1">
        <v>33</v>
      </c>
      <c r="E3" s="1">
        <v>0</v>
      </c>
      <c r="F3" s="1">
        <v>1</v>
      </c>
      <c r="G3" s="1">
        <v>1</v>
      </c>
      <c r="H3" s="1" t="s">
        <v>19</v>
      </c>
      <c r="I3" s="1" t="s">
        <v>19</v>
      </c>
      <c r="J3" s="1">
        <v>0</v>
      </c>
      <c r="K3" s="1">
        <v>18</v>
      </c>
      <c r="L3" s="1"/>
      <c r="M3" s="1"/>
      <c r="N3" s="1"/>
      <c r="O3" s="1"/>
      <c r="P3" s="1">
        <v>22.34</v>
      </c>
      <c r="Q3" s="1">
        <v>0</v>
      </c>
      <c r="R3" s="1">
        <v>0</v>
      </c>
      <c r="S3" s="1">
        <v>22.34</v>
      </c>
      <c r="T3" s="1">
        <v>0</v>
      </c>
      <c r="U3" s="1">
        <v>0</v>
      </c>
    </row>
    <row r="4" spans="1:33" x14ac:dyDescent="0.25">
      <c r="A4" s="1" t="s">
        <v>29</v>
      </c>
      <c r="B4" s="1">
        <v>18</v>
      </c>
      <c r="C4" s="1">
        <v>2</v>
      </c>
      <c r="D4" s="1">
        <v>11</v>
      </c>
      <c r="E4" s="1">
        <v>7</v>
      </c>
      <c r="F4" s="1">
        <v>1</v>
      </c>
      <c r="G4" s="1">
        <v>1</v>
      </c>
      <c r="H4" s="1" t="s">
        <v>19</v>
      </c>
      <c r="I4" s="1" t="s">
        <v>19</v>
      </c>
      <c r="J4" s="1">
        <v>19</v>
      </c>
      <c r="K4" s="1">
        <v>17</v>
      </c>
      <c r="L4" s="1"/>
      <c r="M4" s="1"/>
      <c r="N4" s="1"/>
      <c r="O4" s="1"/>
      <c r="P4" s="1">
        <v>21.22</v>
      </c>
      <c r="Q4" s="1">
        <v>43.03</v>
      </c>
      <c r="R4" s="1">
        <v>0</v>
      </c>
      <c r="S4" s="1">
        <v>21.22</v>
      </c>
      <c r="T4" s="1">
        <v>43.03</v>
      </c>
      <c r="U4" s="1">
        <v>0</v>
      </c>
    </row>
    <row r="5" spans="1:33" x14ac:dyDescent="0.25">
      <c r="A5" s="1" t="s">
        <v>32</v>
      </c>
      <c r="B5" s="1">
        <v>17</v>
      </c>
      <c r="C5" s="1">
        <v>2</v>
      </c>
      <c r="D5" s="1">
        <v>0</v>
      </c>
      <c r="E5" s="1">
        <v>7</v>
      </c>
      <c r="F5" s="1">
        <v>1</v>
      </c>
      <c r="G5" s="1">
        <v>1</v>
      </c>
      <c r="H5" s="1" t="s">
        <v>19</v>
      </c>
      <c r="I5" s="1" t="s">
        <v>19</v>
      </c>
      <c r="J5" s="1">
        <v>13</v>
      </c>
      <c r="K5" s="1">
        <v>0</v>
      </c>
      <c r="L5" s="1"/>
      <c r="M5" s="1"/>
      <c r="N5" s="1"/>
      <c r="O5" s="1"/>
      <c r="P5" s="1">
        <v>0</v>
      </c>
      <c r="Q5" s="1">
        <v>37.14</v>
      </c>
      <c r="R5" s="1">
        <v>0</v>
      </c>
      <c r="S5" s="1">
        <v>0</v>
      </c>
      <c r="T5" s="1">
        <v>37.14</v>
      </c>
      <c r="U5" s="1">
        <v>0</v>
      </c>
    </row>
    <row r="6" spans="1:33" x14ac:dyDescent="0.25">
      <c r="A6" s="1" t="s">
        <v>34</v>
      </c>
      <c r="B6" s="1">
        <v>16</v>
      </c>
      <c r="C6" s="1">
        <v>1</v>
      </c>
      <c r="D6" s="1">
        <v>8</v>
      </c>
      <c r="E6" s="1">
        <v>3</v>
      </c>
      <c r="F6" s="1">
        <v>1</v>
      </c>
      <c r="G6" s="1">
        <v>1</v>
      </c>
      <c r="H6" s="1" t="s">
        <v>19</v>
      </c>
      <c r="I6" s="1" t="s">
        <v>19</v>
      </c>
      <c r="J6" s="1">
        <v>14</v>
      </c>
      <c r="K6" s="1">
        <v>9</v>
      </c>
      <c r="L6" s="1"/>
      <c r="M6" s="1"/>
      <c r="N6" s="1"/>
      <c r="O6" s="1"/>
      <c r="P6" s="1">
        <v>12.68</v>
      </c>
      <c r="Q6" s="1">
        <v>29.02</v>
      </c>
      <c r="R6" s="1">
        <v>0</v>
      </c>
      <c r="S6" s="1">
        <v>12.68</v>
      </c>
      <c r="T6" s="1">
        <v>29.02</v>
      </c>
      <c r="U6" s="1">
        <v>0</v>
      </c>
    </row>
    <row r="7" spans="1:33" x14ac:dyDescent="0.25">
      <c r="A7" s="1" t="s">
        <v>38</v>
      </c>
      <c r="B7" s="1">
        <v>15</v>
      </c>
      <c r="C7" s="1">
        <v>1</v>
      </c>
      <c r="D7" s="1">
        <v>34</v>
      </c>
      <c r="E7" s="1">
        <v>0</v>
      </c>
      <c r="F7" s="1">
        <v>1</v>
      </c>
      <c r="G7" s="1">
        <v>1</v>
      </c>
      <c r="H7" s="1" t="s">
        <v>19</v>
      </c>
      <c r="I7" s="1" t="s">
        <v>19</v>
      </c>
      <c r="J7" s="1">
        <v>0</v>
      </c>
      <c r="K7" s="1">
        <v>15</v>
      </c>
      <c r="L7" s="1"/>
      <c r="M7" s="1"/>
      <c r="N7" s="1"/>
      <c r="O7" s="1"/>
      <c r="P7" s="1">
        <v>26.2</v>
      </c>
      <c r="Q7" s="1">
        <v>0</v>
      </c>
      <c r="R7" s="1">
        <v>0</v>
      </c>
      <c r="S7" s="1">
        <v>26.2</v>
      </c>
      <c r="T7" s="1">
        <v>0</v>
      </c>
      <c r="U7" s="1">
        <v>0</v>
      </c>
    </row>
    <row r="8" spans="1:33" x14ac:dyDescent="0.25">
      <c r="A8" s="1" t="s">
        <v>42</v>
      </c>
      <c r="B8" s="1">
        <v>14</v>
      </c>
      <c r="C8" s="1">
        <v>1</v>
      </c>
      <c r="D8" s="1">
        <v>4</v>
      </c>
      <c r="E8" s="1">
        <v>10</v>
      </c>
      <c r="F8" s="1">
        <v>1</v>
      </c>
      <c r="G8" s="1">
        <v>1</v>
      </c>
      <c r="H8" s="1" t="s">
        <v>19</v>
      </c>
      <c r="I8" s="1" t="s">
        <v>19</v>
      </c>
      <c r="J8" s="1">
        <v>13</v>
      </c>
      <c r="K8" s="1">
        <v>7</v>
      </c>
      <c r="L8" s="1"/>
      <c r="M8" s="1"/>
      <c r="N8" s="1"/>
      <c r="O8" s="1"/>
      <c r="P8" s="1">
        <v>11.26</v>
      </c>
      <c r="Q8" s="1">
        <v>31.31</v>
      </c>
      <c r="R8" s="1">
        <v>0</v>
      </c>
      <c r="S8" s="1">
        <v>11.26</v>
      </c>
      <c r="T8" s="1">
        <v>31.31</v>
      </c>
      <c r="U8" s="1">
        <v>0</v>
      </c>
      <c r="AB8" t="s">
        <v>8</v>
      </c>
      <c r="AC8" t="s">
        <v>7</v>
      </c>
      <c r="AD8" t="s">
        <v>90</v>
      </c>
      <c r="AE8" t="s">
        <v>92</v>
      </c>
      <c r="AF8" t="s">
        <v>91</v>
      </c>
      <c r="AG8" t="s">
        <v>93</v>
      </c>
    </row>
    <row r="9" spans="1:33" x14ac:dyDescent="0.25">
      <c r="A9" s="1" t="s">
        <v>47</v>
      </c>
      <c r="B9" s="1">
        <v>13</v>
      </c>
      <c r="C9" s="1">
        <v>1</v>
      </c>
      <c r="D9" s="1">
        <v>34</v>
      </c>
      <c r="E9" s="1">
        <v>0</v>
      </c>
      <c r="F9" s="1">
        <v>1</v>
      </c>
      <c r="G9" s="1">
        <v>1</v>
      </c>
      <c r="H9" s="1" t="s">
        <v>19</v>
      </c>
      <c r="I9" s="1" t="s">
        <v>19</v>
      </c>
      <c r="J9" s="1">
        <v>0</v>
      </c>
      <c r="K9" s="1">
        <v>16</v>
      </c>
      <c r="L9" s="1"/>
      <c r="M9" s="1"/>
      <c r="N9" s="1"/>
      <c r="O9" s="1"/>
      <c r="P9" s="1">
        <v>34.619999999999997</v>
      </c>
      <c r="Q9" s="1">
        <v>0</v>
      </c>
      <c r="R9" s="1">
        <v>0</v>
      </c>
      <c r="S9" s="1">
        <v>34.619999999999997</v>
      </c>
      <c r="T9" s="1">
        <v>0</v>
      </c>
      <c r="U9" s="1">
        <v>0</v>
      </c>
    </row>
    <row r="10" spans="1:33" x14ac:dyDescent="0.25">
      <c r="A10" s="1" t="s">
        <v>52</v>
      </c>
      <c r="B10" s="1">
        <v>12</v>
      </c>
      <c r="C10" s="1">
        <v>3</v>
      </c>
      <c r="D10" s="1">
        <v>0</v>
      </c>
      <c r="E10" s="1">
        <v>8</v>
      </c>
      <c r="F10" s="1">
        <v>1</v>
      </c>
      <c r="G10" s="1">
        <v>1</v>
      </c>
      <c r="H10" s="1" t="s">
        <v>19</v>
      </c>
      <c r="I10" s="1" t="s">
        <v>19</v>
      </c>
      <c r="J10" s="1">
        <v>21</v>
      </c>
      <c r="K10" s="1">
        <v>0</v>
      </c>
      <c r="L10" s="1"/>
      <c r="M10" s="1"/>
      <c r="N10" s="1"/>
      <c r="O10" s="1"/>
      <c r="P10" s="1">
        <v>0</v>
      </c>
      <c r="Q10" s="1">
        <v>48.17</v>
      </c>
      <c r="R10" s="1">
        <v>0</v>
      </c>
      <c r="S10" s="1">
        <v>0</v>
      </c>
      <c r="T10" s="1">
        <v>48.17</v>
      </c>
      <c r="U10" s="1">
        <v>0</v>
      </c>
    </row>
    <row r="11" spans="1:33" x14ac:dyDescent="0.25">
      <c r="A11" s="1" t="s">
        <v>54</v>
      </c>
      <c r="B11" s="1">
        <v>11</v>
      </c>
      <c r="C11" s="1">
        <v>2</v>
      </c>
      <c r="D11" s="1">
        <v>13</v>
      </c>
      <c r="E11" s="1">
        <v>5</v>
      </c>
      <c r="F11" s="1">
        <v>1</v>
      </c>
      <c r="G11" s="1">
        <v>1</v>
      </c>
      <c r="H11" s="1" t="s">
        <v>19</v>
      </c>
      <c r="I11" s="1" t="s">
        <v>19</v>
      </c>
      <c r="J11" s="1">
        <v>19</v>
      </c>
      <c r="K11" s="1">
        <v>18</v>
      </c>
      <c r="L11" s="1"/>
      <c r="M11" s="1"/>
      <c r="N11" s="1"/>
      <c r="O11" s="1"/>
      <c r="P11" s="1">
        <v>29.51</v>
      </c>
      <c r="Q11" s="1">
        <v>33.590000000000003</v>
      </c>
      <c r="R11" s="1">
        <v>0</v>
      </c>
      <c r="S11" s="1">
        <v>29.51</v>
      </c>
      <c r="T11" s="1">
        <v>33.590000000000003</v>
      </c>
      <c r="U11" s="1">
        <v>0</v>
      </c>
    </row>
    <row r="12" spans="1:33" x14ac:dyDescent="0.25">
      <c r="A12" s="1" t="s">
        <v>56</v>
      </c>
      <c r="B12" s="1">
        <v>10</v>
      </c>
      <c r="C12" s="1">
        <v>1</v>
      </c>
      <c r="D12" s="1">
        <v>10</v>
      </c>
      <c r="E12" s="1">
        <v>10</v>
      </c>
      <c r="F12" s="1">
        <v>1</v>
      </c>
      <c r="G12" s="1">
        <v>1</v>
      </c>
      <c r="H12" s="1" t="s">
        <v>19</v>
      </c>
      <c r="I12" s="1" t="s">
        <v>19</v>
      </c>
      <c r="J12" s="1">
        <v>21</v>
      </c>
      <c r="K12" s="1">
        <v>19</v>
      </c>
      <c r="L12" s="1"/>
      <c r="M12" s="1"/>
      <c r="N12" s="1"/>
      <c r="O12" s="1"/>
      <c r="P12" s="1">
        <v>7.36</v>
      </c>
      <c r="Q12" s="1">
        <v>31.7</v>
      </c>
      <c r="R12" s="1">
        <v>0</v>
      </c>
      <c r="S12" s="1">
        <v>7.36</v>
      </c>
      <c r="T12" s="1">
        <v>31.7</v>
      </c>
      <c r="U12" s="1">
        <v>0</v>
      </c>
    </row>
    <row r="13" spans="1:33" x14ac:dyDescent="0.25">
      <c r="A13" s="1" t="s">
        <v>61</v>
      </c>
      <c r="B13" s="1">
        <v>9</v>
      </c>
      <c r="C13" s="1">
        <v>2</v>
      </c>
      <c r="D13" s="1">
        <v>30</v>
      </c>
      <c r="E13" s="1">
        <v>0</v>
      </c>
      <c r="F13" s="1">
        <v>1</v>
      </c>
      <c r="G13" s="1">
        <v>1</v>
      </c>
      <c r="H13" s="1" t="s">
        <v>19</v>
      </c>
      <c r="I13" s="1" t="s">
        <v>19</v>
      </c>
      <c r="J13" s="1">
        <v>0</v>
      </c>
      <c r="K13" s="1">
        <v>13</v>
      </c>
      <c r="L13" s="1"/>
      <c r="M13" s="1"/>
      <c r="N13" s="1"/>
      <c r="O13" s="1"/>
      <c r="P13" s="1">
        <v>10.75</v>
      </c>
      <c r="Q13" s="1">
        <v>0</v>
      </c>
      <c r="R13" s="1">
        <v>0</v>
      </c>
      <c r="S13" s="1">
        <v>10.75</v>
      </c>
      <c r="T13" s="1">
        <v>0</v>
      </c>
      <c r="U13" s="1">
        <v>0</v>
      </c>
    </row>
    <row r="14" spans="1:33" x14ac:dyDescent="0.25">
      <c r="A14" s="1" t="s">
        <v>64</v>
      </c>
      <c r="B14" s="1">
        <v>8</v>
      </c>
      <c r="C14" s="1">
        <v>2</v>
      </c>
      <c r="D14" s="1">
        <v>8</v>
      </c>
      <c r="E14" s="1">
        <v>4</v>
      </c>
      <c r="F14" s="1">
        <v>1</v>
      </c>
      <c r="G14" s="1">
        <v>1</v>
      </c>
      <c r="H14" s="1" t="s">
        <v>19</v>
      </c>
      <c r="I14" s="1" t="s">
        <v>19</v>
      </c>
      <c r="J14" s="1">
        <v>18</v>
      </c>
      <c r="K14" s="1">
        <v>15</v>
      </c>
      <c r="L14" s="1"/>
      <c r="M14" s="1"/>
      <c r="N14" s="1"/>
      <c r="O14" s="1"/>
      <c r="P14" s="1">
        <v>1.69</v>
      </c>
      <c r="Q14" s="1">
        <v>27.18</v>
      </c>
      <c r="R14" s="1">
        <v>0</v>
      </c>
      <c r="S14" s="1">
        <v>1.69</v>
      </c>
      <c r="T14" s="1">
        <v>27.18</v>
      </c>
      <c r="U14" s="1">
        <v>0</v>
      </c>
    </row>
    <row r="15" spans="1:33" x14ac:dyDescent="0.25">
      <c r="A15" s="1" t="s">
        <v>68</v>
      </c>
      <c r="B15" s="1">
        <v>7</v>
      </c>
      <c r="C15" s="1">
        <v>3</v>
      </c>
      <c r="D15" s="1">
        <v>23</v>
      </c>
      <c r="E15" s="1">
        <v>0</v>
      </c>
      <c r="F15" s="1">
        <v>1</v>
      </c>
      <c r="G15" s="1">
        <v>1</v>
      </c>
      <c r="H15" s="1" t="s">
        <v>19</v>
      </c>
      <c r="I15" s="1" t="s">
        <v>19</v>
      </c>
      <c r="J15" s="1">
        <v>0</v>
      </c>
      <c r="K15" s="1">
        <v>10</v>
      </c>
      <c r="L15" s="1"/>
      <c r="M15" s="1"/>
      <c r="N15" s="1"/>
      <c r="O15" s="1"/>
      <c r="P15" s="1">
        <v>6.38</v>
      </c>
      <c r="Q15" s="1">
        <v>0</v>
      </c>
      <c r="R15" s="1">
        <v>0</v>
      </c>
      <c r="S15" s="1">
        <v>6.38</v>
      </c>
      <c r="T15" s="1">
        <v>0</v>
      </c>
      <c r="U15" s="1">
        <v>0</v>
      </c>
    </row>
    <row r="16" spans="1:33" x14ac:dyDescent="0.25">
      <c r="A16" s="1" t="s">
        <v>69</v>
      </c>
      <c r="B16" s="1">
        <v>6</v>
      </c>
      <c r="C16" s="1">
        <v>1</v>
      </c>
      <c r="D16" s="1">
        <v>12</v>
      </c>
      <c r="E16" s="1">
        <v>5</v>
      </c>
      <c r="F16" s="1">
        <v>1</v>
      </c>
      <c r="G16" s="1">
        <v>1</v>
      </c>
      <c r="H16" s="1" t="s">
        <v>19</v>
      </c>
      <c r="I16" s="1" t="s">
        <v>19</v>
      </c>
      <c r="J16" s="1">
        <v>23</v>
      </c>
      <c r="K16" s="1">
        <v>11</v>
      </c>
      <c r="L16" s="1"/>
      <c r="M16" s="1"/>
      <c r="N16" s="1"/>
      <c r="O16" s="1"/>
      <c r="P16" s="1">
        <v>1.1000000000000001</v>
      </c>
      <c r="Q16" s="1">
        <v>20.23</v>
      </c>
      <c r="R16" s="1">
        <v>0</v>
      </c>
      <c r="S16" s="1">
        <v>1.1000000000000001</v>
      </c>
      <c r="T16" s="1">
        <v>20.23</v>
      </c>
      <c r="U16" s="1">
        <v>0</v>
      </c>
    </row>
    <row r="17" spans="1:24" x14ac:dyDescent="0.25">
      <c r="A17" s="1" t="s">
        <v>74</v>
      </c>
      <c r="B17" s="1">
        <v>5</v>
      </c>
      <c r="C17" s="1">
        <v>3</v>
      </c>
      <c r="D17" s="1">
        <v>7</v>
      </c>
      <c r="E17" s="1">
        <v>4</v>
      </c>
      <c r="F17" s="1">
        <v>1</v>
      </c>
      <c r="G17" s="1">
        <v>1</v>
      </c>
      <c r="H17" s="1" t="s">
        <v>19</v>
      </c>
      <c r="I17" s="1" t="s">
        <v>19</v>
      </c>
      <c r="J17" s="1">
        <v>19</v>
      </c>
      <c r="K17" s="1">
        <v>16</v>
      </c>
      <c r="L17" s="1"/>
      <c r="M17" s="1"/>
      <c r="N17" s="1"/>
      <c r="O17" s="1"/>
      <c r="P17" s="1">
        <v>3.61</v>
      </c>
      <c r="Q17" s="1">
        <v>11.58</v>
      </c>
      <c r="R17" s="1">
        <v>0</v>
      </c>
      <c r="S17" s="1">
        <v>3.61</v>
      </c>
      <c r="T17" s="1">
        <v>11.58</v>
      </c>
      <c r="U17" s="1">
        <v>0</v>
      </c>
    </row>
    <row r="18" spans="1:24" x14ac:dyDescent="0.25">
      <c r="A18" s="1" t="s">
        <v>76</v>
      </c>
      <c r="B18" s="1">
        <v>4</v>
      </c>
      <c r="C18" s="1">
        <v>2</v>
      </c>
      <c r="D18" s="1">
        <v>0</v>
      </c>
      <c r="E18" s="1">
        <v>9</v>
      </c>
      <c r="F18" s="1">
        <v>1</v>
      </c>
      <c r="G18" s="1">
        <v>1</v>
      </c>
      <c r="H18" s="1" t="s">
        <v>19</v>
      </c>
      <c r="I18" s="1" t="s">
        <v>19</v>
      </c>
      <c r="J18" s="1">
        <v>18</v>
      </c>
      <c r="K18" s="1">
        <v>0</v>
      </c>
      <c r="L18" s="1"/>
      <c r="M18" s="1"/>
      <c r="N18" s="1"/>
      <c r="O18" s="1"/>
      <c r="P18" s="1">
        <v>0</v>
      </c>
      <c r="Q18" s="1">
        <v>20.53</v>
      </c>
      <c r="R18" s="1">
        <v>0</v>
      </c>
      <c r="S18" s="1">
        <v>0</v>
      </c>
      <c r="T18" s="1">
        <v>20.53</v>
      </c>
      <c r="U18" s="1">
        <v>0</v>
      </c>
    </row>
    <row r="19" spans="1:24" x14ac:dyDescent="0.25">
      <c r="A19" s="1" t="s">
        <v>78</v>
      </c>
      <c r="B19" s="1">
        <v>3</v>
      </c>
      <c r="C19" s="1">
        <v>1</v>
      </c>
      <c r="D19" s="1">
        <v>0</v>
      </c>
      <c r="E19" s="1">
        <v>11</v>
      </c>
      <c r="F19" s="1">
        <v>1</v>
      </c>
      <c r="G19" s="1">
        <v>1</v>
      </c>
      <c r="H19" s="1" t="s">
        <v>19</v>
      </c>
      <c r="I19" s="1" t="s">
        <v>19</v>
      </c>
      <c r="J19" s="1">
        <v>18</v>
      </c>
      <c r="K19" s="1">
        <v>0</v>
      </c>
      <c r="L19" s="1"/>
      <c r="M19" s="1"/>
      <c r="N19" s="1"/>
      <c r="O19" s="1"/>
      <c r="P19" s="1">
        <v>0</v>
      </c>
      <c r="Q19" s="1">
        <v>31.79</v>
      </c>
      <c r="R19" s="1">
        <v>0</v>
      </c>
      <c r="S19" s="1">
        <v>0</v>
      </c>
      <c r="T19" s="1">
        <v>31.79</v>
      </c>
      <c r="U19" s="1">
        <v>0</v>
      </c>
    </row>
    <row r="20" spans="1:24" x14ac:dyDescent="0.25">
      <c r="A20" s="1" t="s">
        <v>81</v>
      </c>
      <c r="B20" s="1">
        <v>2</v>
      </c>
      <c r="C20" s="1">
        <v>1</v>
      </c>
      <c r="D20" s="1">
        <v>11</v>
      </c>
      <c r="E20" s="1">
        <v>11</v>
      </c>
      <c r="F20" s="1">
        <v>1</v>
      </c>
      <c r="G20" s="1">
        <v>1</v>
      </c>
      <c r="H20" s="1" t="s">
        <v>19</v>
      </c>
      <c r="I20" s="1" t="s">
        <v>19</v>
      </c>
      <c r="J20" s="1">
        <v>18</v>
      </c>
      <c r="K20" s="1">
        <v>14</v>
      </c>
      <c r="L20" s="1"/>
      <c r="M20" s="1"/>
      <c r="N20" s="1"/>
      <c r="O20" s="1"/>
      <c r="P20" s="1">
        <v>2.16</v>
      </c>
      <c r="Q20" s="1">
        <v>25.75</v>
      </c>
      <c r="R20" s="1">
        <v>0</v>
      </c>
      <c r="S20" s="1">
        <v>2.16</v>
      </c>
      <c r="T20" s="1">
        <v>25.75</v>
      </c>
      <c r="U20" s="1">
        <v>0</v>
      </c>
    </row>
    <row r="21" spans="1:24" x14ac:dyDescent="0.25">
      <c r="A21" s="1" t="s">
        <v>85</v>
      </c>
      <c r="B21" s="1">
        <v>1</v>
      </c>
      <c r="C21" s="1">
        <v>2</v>
      </c>
      <c r="D21" s="1">
        <v>0</v>
      </c>
      <c r="E21" s="1">
        <v>14</v>
      </c>
      <c r="F21" s="1">
        <v>1</v>
      </c>
      <c r="G21" s="1">
        <v>1</v>
      </c>
      <c r="H21" s="1" t="s">
        <v>19</v>
      </c>
      <c r="I21" s="1" t="s">
        <v>19</v>
      </c>
      <c r="J21" s="1">
        <v>18</v>
      </c>
      <c r="K21" s="1">
        <v>0</v>
      </c>
      <c r="L21" s="1"/>
      <c r="M21" s="1"/>
      <c r="N21" s="1"/>
      <c r="O21" s="1"/>
      <c r="P21" s="1">
        <v>0</v>
      </c>
      <c r="Q21" s="1">
        <v>35.57</v>
      </c>
      <c r="R21" s="1">
        <v>0</v>
      </c>
      <c r="S21" s="1">
        <v>0</v>
      </c>
      <c r="T21" s="1">
        <v>35.57</v>
      </c>
      <c r="U21" s="1">
        <v>0</v>
      </c>
    </row>
    <row r="22" spans="1:24" x14ac:dyDescent="0.25">
      <c r="A22" s="1" t="s">
        <v>21</v>
      </c>
      <c r="B22" s="1">
        <v>20</v>
      </c>
      <c r="C22" s="1">
        <v>3</v>
      </c>
      <c r="D22" s="1">
        <v>9</v>
      </c>
      <c r="E22" s="1">
        <v>4</v>
      </c>
      <c r="F22" s="1">
        <v>2</v>
      </c>
      <c r="G22" s="1" t="s">
        <v>19</v>
      </c>
      <c r="H22" s="1">
        <v>1</v>
      </c>
      <c r="I22" s="1" t="s">
        <v>19</v>
      </c>
      <c r="J22" s="1"/>
      <c r="K22" s="1"/>
      <c r="L22" s="1">
        <v>59</v>
      </c>
      <c r="M22" s="1">
        <v>51</v>
      </c>
      <c r="N22" s="1"/>
      <c r="O22" s="1"/>
      <c r="P22" s="1">
        <v>29.26</v>
      </c>
      <c r="Q22" s="1">
        <v>155.63</v>
      </c>
      <c r="R22" s="1">
        <v>0</v>
      </c>
      <c r="V22" s="1">
        <v>29.26</v>
      </c>
      <c r="W22" s="1">
        <v>155.63</v>
      </c>
      <c r="X22" s="1">
        <v>0</v>
      </c>
    </row>
    <row r="23" spans="1:24" x14ac:dyDescent="0.25">
      <c r="A23" s="1" t="s">
        <v>25</v>
      </c>
      <c r="B23" s="1">
        <v>19</v>
      </c>
      <c r="C23" s="1">
        <v>3</v>
      </c>
      <c r="D23" s="1">
        <v>35</v>
      </c>
      <c r="E23" s="1">
        <v>0</v>
      </c>
      <c r="F23" s="1">
        <v>2</v>
      </c>
      <c r="G23" s="1" t="s">
        <v>19</v>
      </c>
      <c r="H23" s="1">
        <v>1</v>
      </c>
      <c r="I23" s="1" t="s">
        <v>19</v>
      </c>
      <c r="J23" s="1"/>
      <c r="K23" s="1"/>
      <c r="L23" s="1">
        <v>0</v>
      </c>
      <c r="M23" s="1">
        <v>47</v>
      </c>
      <c r="N23" s="1"/>
      <c r="O23" s="1"/>
      <c r="P23" s="1">
        <v>162.9</v>
      </c>
      <c r="Q23" s="1">
        <v>0</v>
      </c>
      <c r="R23" s="1">
        <v>0</v>
      </c>
      <c r="V23" s="1">
        <v>162.9</v>
      </c>
      <c r="W23" s="1">
        <v>0</v>
      </c>
      <c r="X23" s="1">
        <v>0</v>
      </c>
    </row>
    <row r="24" spans="1:24" x14ac:dyDescent="0.25">
      <c r="A24" s="1" t="s">
        <v>26</v>
      </c>
      <c r="B24" s="1">
        <v>18</v>
      </c>
      <c r="C24" s="1">
        <v>1</v>
      </c>
      <c r="D24" s="1">
        <v>10</v>
      </c>
      <c r="E24" s="1">
        <v>4</v>
      </c>
      <c r="F24" s="1">
        <v>2</v>
      </c>
      <c r="G24" s="1" t="s">
        <v>19</v>
      </c>
      <c r="H24" s="1">
        <v>1</v>
      </c>
      <c r="I24" s="1" t="s">
        <v>19</v>
      </c>
      <c r="J24" s="1"/>
      <c r="K24" s="1"/>
      <c r="L24" s="1">
        <v>73</v>
      </c>
      <c r="M24" s="1">
        <v>45</v>
      </c>
      <c r="N24" s="1"/>
      <c r="O24" s="1"/>
      <c r="P24" s="1">
        <v>20.8</v>
      </c>
      <c r="Q24" s="1">
        <v>184.43</v>
      </c>
      <c r="R24" s="1">
        <v>0</v>
      </c>
      <c r="V24" s="1">
        <v>20.8</v>
      </c>
      <c r="W24" s="1">
        <v>184.43</v>
      </c>
      <c r="X24" s="1">
        <v>0</v>
      </c>
    </row>
    <row r="25" spans="1:24" x14ac:dyDescent="0.25">
      <c r="A25" s="1" t="s">
        <v>33</v>
      </c>
      <c r="B25" s="1">
        <v>17</v>
      </c>
      <c r="C25" s="1">
        <v>3</v>
      </c>
      <c r="D25" s="1">
        <v>0</v>
      </c>
      <c r="E25" s="1">
        <v>10</v>
      </c>
      <c r="F25" s="1">
        <v>2</v>
      </c>
      <c r="G25" s="1" t="s">
        <v>19</v>
      </c>
      <c r="H25" s="1">
        <v>1</v>
      </c>
      <c r="I25" s="1" t="s">
        <v>19</v>
      </c>
      <c r="J25" s="1"/>
      <c r="K25" s="1"/>
      <c r="L25" s="1">
        <v>53</v>
      </c>
      <c r="M25" s="1">
        <v>0</v>
      </c>
      <c r="N25" s="1"/>
      <c r="O25" s="1"/>
      <c r="P25" s="1">
        <v>0</v>
      </c>
      <c r="Q25" s="1">
        <v>87.54</v>
      </c>
      <c r="R25" s="1">
        <v>0</v>
      </c>
      <c r="V25" s="1">
        <v>0</v>
      </c>
      <c r="W25" s="1">
        <v>87.54</v>
      </c>
      <c r="X25" s="1">
        <v>0</v>
      </c>
    </row>
    <row r="26" spans="1:24" x14ac:dyDescent="0.25">
      <c r="A26" s="1" t="s">
        <v>37</v>
      </c>
      <c r="B26" s="1">
        <v>16</v>
      </c>
      <c r="C26" s="1">
        <v>3</v>
      </c>
      <c r="D26" s="1">
        <v>10</v>
      </c>
      <c r="E26" s="1">
        <v>4</v>
      </c>
      <c r="F26" s="1">
        <v>2</v>
      </c>
      <c r="G26" s="1" t="s">
        <v>19</v>
      </c>
      <c r="H26" s="1">
        <v>1</v>
      </c>
      <c r="I26" s="1" t="s">
        <v>19</v>
      </c>
      <c r="J26" s="1"/>
      <c r="K26" s="1"/>
      <c r="L26" s="1">
        <v>50</v>
      </c>
      <c r="M26" s="1">
        <v>41</v>
      </c>
      <c r="N26" s="1"/>
      <c r="O26" s="1"/>
      <c r="P26" s="1">
        <v>14.35</v>
      </c>
      <c r="Q26" s="1">
        <v>93.87</v>
      </c>
      <c r="R26" s="1">
        <v>0</v>
      </c>
      <c r="V26" s="1">
        <v>14.35</v>
      </c>
      <c r="W26" s="1">
        <v>93.87</v>
      </c>
      <c r="X26" s="1">
        <v>0</v>
      </c>
    </row>
    <row r="27" spans="1:24" x14ac:dyDescent="0.25">
      <c r="A27" s="1" t="s">
        <v>41</v>
      </c>
      <c r="B27" s="1">
        <v>15</v>
      </c>
      <c r="C27" s="1">
        <v>3</v>
      </c>
      <c r="D27" s="1">
        <v>24</v>
      </c>
      <c r="E27" s="1">
        <v>0</v>
      </c>
      <c r="F27" s="1">
        <v>2</v>
      </c>
      <c r="G27" s="1" t="s">
        <v>19</v>
      </c>
      <c r="H27" s="1">
        <v>1</v>
      </c>
      <c r="I27" s="1" t="s">
        <v>19</v>
      </c>
      <c r="J27" s="1"/>
      <c r="K27" s="1"/>
      <c r="L27" s="1">
        <v>0</v>
      </c>
      <c r="M27" s="1">
        <v>50</v>
      </c>
      <c r="N27" s="1"/>
      <c r="O27" s="1"/>
      <c r="P27" s="1">
        <v>111.24</v>
      </c>
      <c r="Q27" s="1">
        <v>0</v>
      </c>
      <c r="R27" s="1">
        <v>0</v>
      </c>
      <c r="V27" s="1">
        <v>111.24</v>
      </c>
      <c r="W27" s="1">
        <v>0</v>
      </c>
      <c r="X27" s="1">
        <v>0</v>
      </c>
    </row>
    <row r="28" spans="1:24" x14ac:dyDescent="0.25">
      <c r="A28" s="1" t="s">
        <v>46</v>
      </c>
      <c r="B28" s="1">
        <v>14</v>
      </c>
      <c r="C28" s="1">
        <v>3</v>
      </c>
      <c r="D28" s="1">
        <v>8</v>
      </c>
      <c r="E28" s="1">
        <v>2</v>
      </c>
      <c r="F28" s="1">
        <v>2</v>
      </c>
      <c r="G28" s="1" t="s">
        <v>19</v>
      </c>
      <c r="H28" s="1">
        <v>1</v>
      </c>
      <c r="I28" s="1" t="s">
        <v>19</v>
      </c>
      <c r="J28" s="1"/>
      <c r="K28" s="1"/>
      <c r="L28" s="1">
        <v>60</v>
      </c>
      <c r="M28" s="1">
        <v>37</v>
      </c>
      <c r="N28" s="1"/>
      <c r="O28" s="1"/>
      <c r="P28" s="1">
        <v>0.68</v>
      </c>
      <c r="Q28" s="1">
        <v>78.489999999999995</v>
      </c>
      <c r="R28" s="1">
        <v>0</v>
      </c>
      <c r="V28" s="1">
        <v>0.68</v>
      </c>
      <c r="W28" s="1">
        <v>78.489999999999995</v>
      </c>
      <c r="X28" s="1">
        <v>0</v>
      </c>
    </row>
    <row r="29" spans="1:24" x14ac:dyDescent="0.25">
      <c r="A29" s="1" t="s">
        <v>48</v>
      </c>
      <c r="B29" s="1">
        <v>13</v>
      </c>
      <c r="C29" s="1">
        <v>2</v>
      </c>
      <c r="D29" s="1">
        <v>32</v>
      </c>
      <c r="E29" s="1">
        <v>0</v>
      </c>
      <c r="F29" s="1">
        <v>2</v>
      </c>
      <c r="G29" s="1" t="s">
        <v>19</v>
      </c>
      <c r="H29" s="1">
        <v>1</v>
      </c>
      <c r="I29" s="1" t="s">
        <v>19</v>
      </c>
      <c r="J29" s="1"/>
      <c r="K29" s="1"/>
      <c r="L29" s="1">
        <v>0</v>
      </c>
      <c r="M29" s="1">
        <v>33</v>
      </c>
      <c r="N29" s="1"/>
      <c r="O29" s="1"/>
      <c r="P29" s="1">
        <v>151.5</v>
      </c>
      <c r="Q29" s="1">
        <v>0</v>
      </c>
      <c r="R29" s="1">
        <v>0</v>
      </c>
      <c r="V29" s="1">
        <v>151.5</v>
      </c>
      <c r="W29" s="1">
        <v>0</v>
      </c>
      <c r="X29" s="1">
        <v>0</v>
      </c>
    </row>
    <row r="30" spans="1:24" x14ac:dyDescent="0.25">
      <c r="A30" s="1" t="s">
        <v>50</v>
      </c>
      <c r="B30" s="1">
        <v>12</v>
      </c>
      <c r="C30" s="1">
        <v>1</v>
      </c>
      <c r="D30" s="1">
        <v>0</v>
      </c>
      <c r="E30" s="1">
        <v>12</v>
      </c>
      <c r="F30" s="1">
        <v>2</v>
      </c>
      <c r="G30" s="1" t="s">
        <v>19</v>
      </c>
      <c r="H30" s="1">
        <v>1</v>
      </c>
      <c r="I30" s="1" t="s">
        <v>19</v>
      </c>
      <c r="J30" s="1"/>
      <c r="K30" s="1"/>
      <c r="L30" s="1">
        <v>72</v>
      </c>
      <c r="M30" s="1">
        <v>0</v>
      </c>
      <c r="N30" s="1"/>
      <c r="O30" s="1"/>
      <c r="P30" s="1">
        <v>0</v>
      </c>
      <c r="Q30" s="1">
        <v>101.67</v>
      </c>
      <c r="R30" s="1">
        <v>0</v>
      </c>
      <c r="V30" s="1">
        <v>0</v>
      </c>
      <c r="W30" s="1">
        <v>101.67</v>
      </c>
      <c r="X30" s="1">
        <v>0</v>
      </c>
    </row>
    <row r="31" spans="1:24" x14ac:dyDescent="0.25">
      <c r="A31" s="1" t="s">
        <v>55</v>
      </c>
      <c r="B31" s="1">
        <v>11</v>
      </c>
      <c r="C31" s="1">
        <v>3</v>
      </c>
      <c r="D31" s="1">
        <v>7</v>
      </c>
      <c r="E31" s="1">
        <v>8</v>
      </c>
      <c r="F31" s="1">
        <v>2</v>
      </c>
      <c r="G31" s="1" t="s">
        <v>19</v>
      </c>
      <c r="H31" s="1">
        <v>1</v>
      </c>
      <c r="I31" s="1" t="s">
        <v>19</v>
      </c>
      <c r="J31" s="1"/>
      <c r="K31" s="1"/>
      <c r="L31" s="1">
        <v>62</v>
      </c>
      <c r="M31" s="1">
        <v>50</v>
      </c>
      <c r="N31" s="1"/>
      <c r="O31" s="1"/>
      <c r="P31" s="1">
        <v>58.86</v>
      </c>
      <c r="Q31" s="1">
        <v>134.6</v>
      </c>
      <c r="R31" s="1">
        <v>0</v>
      </c>
      <c r="V31" s="1">
        <v>58.86</v>
      </c>
      <c r="W31" s="1">
        <v>134.6</v>
      </c>
      <c r="X31" s="1">
        <v>0</v>
      </c>
    </row>
    <row r="32" spans="1:24" x14ac:dyDescent="0.25">
      <c r="A32" s="1" t="s">
        <v>58</v>
      </c>
      <c r="B32" s="1">
        <v>10</v>
      </c>
      <c r="C32" s="1">
        <v>2</v>
      </c>
      <c r="D32" s="1">
        <v>16</v>
      </c>
      <c r="E32" s="1">
        <v>7</v>
      </c>
      <c r="F32" s="1">
        <v>2</v>
      </c>
      <c r="G32" s="1" t="s">
        <v>19</v>
      </c>
      <c r="H32" s="1">
        <v>1</v>
      </c>
      <c r="I32" s="1" t="s">
        <v>19</v>
      </c>
      <c r="J32" s="1"/>
      <c r="K32" s="1"/>
      <c r="L32" s="1">
        <v>61</v>
      </c>
      <c r="M32" s="1">
        <v>51</v>
      </c>
      <c r="N32" s="1"/>
      <c r="O32" s="1"/>
      <c r="P32" s="1">
        <v>40.51</v>
      </c>
      <c r="Q32" s="1">
        <v>200.6</v>
      </c>
      <c r="R32" s="1">
        <v>0</v>
      </c>
      <c r="V32" s="1">
        <v>40.51</v>
      </c>
      <c r="W32" s="1">
        <v>200.6</v>
      </c>
      <c r="X32" s="1">
        <v>0</v>
      </c>
    </row>
    <row r="33" spans="1:27" x14ac:dyDescent="0.25">
      <c r="A33" s="1" t="s">
        <v>60</v>
      </c>
      <c r="B33" s="1">
        <v>9</v>
      </c>
      <c r="C33" s="1">
        <v>1</v>
      </c>
      <c r="D33" s="1">
        <v>24</v>
      </c>
      <c r="E33" s="1">
        <v>0</v>
      </c>
      <c r="F33" s="1">
        <v>2</v>
      </c>
      <c r="G33" s="1" t="s">
        <v>19</v>
      </c>
      <c r="H33" s="1">
        <v>1</v>
      </c>
      <c r="I33" s="1" t="s">
        <v>19</v>
      </c>
      <c r="J33" s="1"/>
      <c r="K33" s="1"/>
      <c r="L33" s="1">
        <v>0</v>
      </c>
      <c r="M33" s="1">
        <v>51</v>
      </c>
      <c r="N33" s="1"/>
      <c r="O33" s="1"/>
      <c r="P33" s="1">
        <v>174.86</v>
      </c>
      <c r="Q33" s="1">
        <v>0</v>
      </c>
      <c r="R33" s="1">
        <v>0</v>
      </c>
      <c r="V33" s="1">
        <v>174.86</v>
      </c>
      <c r="W33" s="1">
        <v>0</v>
      </c>
      <c r="X33" s="1">
        <v>0</v>
      </c>
    </row>
    <row r="34" spans="1:27" x14ac:dyDescent="0.25">
      <c r="A34" s="1" t="s">
        <v>65</v>
      </c>
      <c r="B34" s="1">
        <v>8</v>
      </c>
      <c r="C34" s="1">
        <v>3</v>
      </c>
      <c r="D34" s="1">
        <v>9</v>
      </c>
      <c r="E34" s="1">
        <v>8</v>
      </c>
      <c r="F34" s="1">
        <v>2</v>
      </c>
      <c r="G34" s="1" t="s">
        <v>19</v>
      </c>
      <c r="H34" s="1">
        <v>1</v>
      </c>
      <c r="I34" s="1" t="s">
        <v>19</v>
      </c>
      <c r="J34" s="1"/>
      <c r="K34" s="1"/>
      <c r="L34" s="1">
        <v>57</v>
      </c>
      <c r="M34" s="1">
        <v>38</v>
      </c>
      <c r="N34" s="1"/>
      <c r="O34" s="1"/>
      <c r="P34" s="1">
        <v>5</v>
      </c>
      <c r="Q34" s="1">
        <v>130.33000000000001</v>
      </c>
      <c r="R34" s="1">
        <v>0</v>
      </c>
      <c r="V34" s="1">
        <v>5</v>
      </c>
      <c r="W34" s="1">
        <v>130.33000000000001</v>
      </c>
      <c r="X34" s="1">
        <v>0</v>
      </c>
    </row>
    <row r="35" spans="1:27" x14ac:dyDescent="0.25">
      <c r="A35" s="1" t="s">
        <v>66</v>
      </c>
      <c r="B35" s="1">
        <v>7</v>
      </c>
      <c r="C35" s="1">
        <v>1</v>
      </c>
      <c r="D35" s="1">
        <v>23</v>
      </c>
      <c r="E35" s="1">
        <v>0</v>
      </c>
      <c r="F35" s="1">
        <v>2</v>
      </c>
      <c r="G35" s="1" t="s">
        <v>19</v>
      </c>
      <c r="H35" s="1">
        <v>1</v>
      </c>
      <c r="I35" s="1" t="s">
        <v>19</v>
      </c>
      <c r="J35" s="1"/>
      <c r="K35" s="1"/>
      <c r="L35" s="1">
        <v>0</v>
      </c>
      <c r="M35" s="1">
        <v>55</v>
      </c>
      <c r="N35" s="1"/>
      <c r="O35" s="1"/>
      <c r="P35" s="1">
        <v>153.78</v>
      </c>
      <c r="Q35" s="1">
        <v>0</v>
      </c>
      <c r="R35" s="1">
        <v>0</v>
      </c>
      <c r="V35" s="1">
        <v>153.78</v>
      </c>
      <c r="W35" s="1">
        <v>0</v>
      </c>
      <c r="X35" s="1">
        <v>0</v>
      </c>
    </row>
    <row r="36" spans="1:27" x14ac:dyDescent="0.25">
      <c r="A36" s="1" t="s">
        <v>71</v>
      </c>
      <c r="B36" s="1">
        <v>6</v>
      </c>
      <c r="C36" s="1">
        <v>3</v>
      </c>
      <c r="D36" s="1">
        <v>17</v>
      </c>
      <c r="E36" s="1">
        <v>5</v>
      </c>
      <c r="F36" s="1">
        <v>2</v>
      </c>
      <c r="G36" s="1" t="s">
        <v>19</v>
      </c>
      <c r="H36" s="1">
        <v>1</v>
      </c>
      <c r="I36" s="1" t="s">
        <v>19</v>
      </c>
      <c r="J36" s="1"/>
      <c r="K36" s="1"/>
      <c r="L36" s="1">
        <v>56</v>
      </c>
      <c r="M36" s="1">
        <v>56</v>
      </c>
      <c r="N36" s="1"/>
      <c r="O36" s="1"/>
      <c r="P36" s="1">
        <v>43.06</v>
      </c>
      <c r="Q36" s="1">
        <v>100.65</v>
      </c>
      <c r="R36" s="1">
        <v>0</v>
      </c>
      <c r="V36" s="1">
        <v>43.06</v>
      </c>
      <c r="W36" s="1">
        <v>100.65</v>
      </c>
      <c r="X36" s="1">
        <v>0</v>
      </c>
    </row>
    <row r="37" spans="1:27" x14ac:dyDescent="0.25">
      <c r="A37" s="1" t="s">
        <v>72</v>
      </c>
      <c r="B37" s="1">
        <v>5</v>
      </c>
      <c r="C37" s="1">
        <v>1</v>
      </c>
      <c r="D37" s="1">
        <v>6</v>
      </c>
      <c r="E37" s="1">
        <v>5</v>
      </c>
      <c r="F37" s="1">
        <v>2</v>
      </c>
      <c r="G37" s="1" t="s">
        <v>19</v>
      </c>
      <c r="H37" s="1">
        <v>1</v>
      </c>
      <c r="I37" s="1" t="s">
        <v>19</v>
      </c>
      <c r="J37" s="1"/>
      <c r="K37" s="1"/>
      <c r="L37" s="1">
        <v>57</v>
      </c>
      <c r="M37" s="1">
        <v>49</v>
      </c>
      <c r="N37" s="1"/>
      <c r="O37" s="1"/>
      <c r="P37" s="1">
        <v>78.36</v>
      </c>
      <c r="Q37" s="1">
        <v>98.6</v>
      </c>
      <c r="R37" s="1">
        <v>0</v>
      </c>
      <c r="V37" s="1">
        <v>78.36</v>
      </c>
      <c r="W37" s="1">
        <v>98.6</v>
      </c>
      <c r="X37" s="1">
        <v>0</v>
      </c>
    </row>
    <row r="38" spans="1:27" x14ac:dyDescent="0.25">
      <c r="A38" s="1" t="s">
        <v>75</v>
      </c>
      <c r="B38" s="1">
        <v>4</v>
      </c>
      <c r="C38" s="1">
        <v>1</v>
      </c>
      <c r="D38" s="1">
        <v>0</v>
      </c>
      <c r="E38" s="1">
        <v>7</v>
      </c>
      <c r="F38" s="1">
        <v>2</v>
      </c>
      <c r="G38" s="1" t="s">
        <v>19</v>
      </c>
      <c r="H38" s="1">
        <v>1</v>
      </c>
      <c r="I38" s="1" t="s">
        <v>19</v>
      </c>
      <c r="J38" s="1"/>
      <c r="K38" s="1"/>
      <c r="L38" s="1">
        <v>61</v>
      </c>
      <c r="M38" s="1">
        <v>0</v>
      </c>
      <c r="N38" s="1"/>
      <c r="O38" s="1"/>
      <c r="P38" s="1">
        <v>0</v>
      </c>
      <c r="Q38" s="1">
        <v>129.88</v>
      </c>
      <c r="R38" s="1">
        <v>0</v>
      </c>
      <c r="V38" s="1">
        <v>0</v>
      </c>
      <c r="W38" s="1">
        <v>129.88</v>
      </c>
      <c r="X38" s="1">
        <v>0</v>
      </c>
    </row>
    <row r="39" spans="1:27" x14ac:dyDescent="0.25">
      <c r="A39" s="1" t="s">
        <v>80</v>
      </c>
      <c r="B39" s="1">
        <v>3</v>
      </c>
      <c r="C39" s="1">
        <v>3</v>
      </c>
      <c r="D39" s="1">
        <v>0</v>
      </c>
      <c r="E39" s="1">
        <v>11</v>
      </c>
      <c r="F39" s="1">
        <v>2</v>
      </c>
      <c r="G39" s="1" t="s">
        <v>19</v>
      </c>
      <c r="H39" s="1">
        <v>1</v>
      </c>
      <c r="I39" s="1" t="s">
        <v>19</v>
      </c>
      <c r="J39" s="1"/>
      <c r="K39" s="1"/>
      <c r="L39" s="1">
        <v>53</v>
      </c>
      <c r="M39" s="1">
        <v>0</v>
      </c>
      <c r="N39" s="1"/>
      <c r="O39" s="1"/>
      <c r="P39" s="1">
        <v>0</v>
      </c>
      <c r="Q39" s="1">
        <v>94.93</v>
      </c>
      <c r="R39" s="1">
        <v>0</v>
      </c>
      <c r="V39" s="1">
        <v>0</v>
      </c>
      <c r="W39" s="1">
        <v>94.93</v>
      </c>
      <c r="X39" s="1">
        <v>0</v>
      </c>
    </row>
    <row r="40" spans="1:27" x14ac:dyDescent="0.25">
      <c r="A40" s="1" t="s">
        <v>83</v>
      </c>
      <c r="B40" s="1">
        <v>2</v>
      </c>
      <c r="C40" s="1">
        <v>3</v>
      </c>
      <c r="D40" s="1">
        <v>5</v>
      </c>
      <c r="E40" s="1">
        <v>8</v>
      </c>
      <c r="F40" s="1">
        <v>2</v>
      </c>
      <c r="G40" s="1" t="s">
        <v>19</v>
      </c>
      <c r="H40" s="1">
        <v>1</v>
      </c>
      <c r="I40" s="1" t="s">
        <v>19</v>
      </c>
      <c r="J40" s="1"/>
      <c r="K40" s="1"/>
      <c r="L40" s="1">
        <v>44</v>
      </c>
      <c r="M40" s="1">
        <v>34</v>
      </c>
      <c r="N40" s="1"/>
      <c r="O40" s="1"/>
      <c r="P40" s="1">
        <v>4.8499999999999996</v>
      </c>
      <c r="Q40" s="1">
        <v>81.59</v>
      </c>
      <c r="R40" s="1">
        <v>0</v>
      </c>
      <c r="V40" s="1">
        <v>4.8499999999999996</v>
      </c>
      <c r="W40" s="1">
        <v>81.59</v>
      </c>
      <c r="X40" s="1">
        <v>0</v>
      </c>
    </row>
    <row r="41" spans="1:27" x14ac:dyDescent="0.25">
      <c r="A41" s="1" t="s">
        <v>86</v>
      </c>
      <c r="B41" s="1">
        <v>1</v>
      </c>
      <c r="C41" s="1">
        <v>3</v>
      </c>
      <c r="D41" s="1">
        <v>0</v>
      </c>
      <c r="E41" s="1">
        <v>8</v>
      </c>
      <c r="F41" s="1">
        <v>2</v>
      </c>
      <c r="G41" s="1" t="s">
        <v>19</v>
      </c>
      <c r="H41" s="1">
        <v>1</v>
      </c>
      <c r="I41" s="1" t="s">
        <v>19</v>
      </c>
      <c r="J41" s="1"/>
      <c r="K41" s="1"/>
      <c r="L41" s="1">
        <v>60</v>
      </c>
      <c r="M41" s="1">
        <v>0</v>
      </c>
      <c r="N41" s="1"/>
      <c r="O41" s="1"/>
      <c r="P41" s="1">
        <v>0</v>
      </c>
      <c r="Q41" s="1">
        <v>140.36000000000001</v>
      </c>
      <c r="R41" s="1">
        <v>0</v>
      </c>
      <c r="V41" s="1">
        <v>0</v>
      </c>
      <c r="W41" s="1">
        <v>140.36000000000001</v>
      </c>
      <c r="X41" s="1">
        <v>0</v>
      </c>
    </row>
    <row r="42" spans="1:27" x14ac:dyDescent="0.25">
      <c r="A42" s="1" t="s">
        <v>20</v>
      </c>
      <c r="B42" s="1">
        <v>20</v>
      </c>
      <c r="C42" s="1">
        <v>2</v>
      </c>
      <c r="D42" s="1">
        <v>8</v>
      </c>
      <c r="E42" s="1">
        <v>6</v>
      </c>
      <c r="F42" s="1">
        <v>3</v>
      </c>
      <c r="G42" s="1" t="s">
        <v>19</v>
      </c>
      <c r="H42" s="1" t="s">
        <v>19</v>
      </c>
      <c r="I42" s="1">
        <v>1</v>
      </c>
      <c r="J42" s="1"/>
      <c r="K42" s="1"/>
      <c r="L42" s="1"/>
      <c r="M42" s="1"/>
      <c r="N42" s="1">
        <v>77</v>
      </c>
      <c r="O42" s="1">
        <v>90</v>
      </c>
      <c r="P42" s="1">
        <v>58.63</v>
      </c>
      <c r="Q42" s="1">
        <v>314.58</v>
      </c>
      <c r="R42" s="1">
        <v>0</v>
      </c>
      <c r="Y42" s="1">
        <v>58.63</v>
      </c>
      <c r="Z42" s="1">
        <v>314.58</v>
      </c>
      <c r="AA42" s="1">
        <v>0</v>
      </c>
    </row>
    <row r="43" spans="1:27" x14ac:dyDescent="0.25">
      <c r="A43" s="1" t="s">
        <v>24</v>
      </c>
      <c r="B43" s="1">
        <v>19</v>
      </c>
      <c r="C43" s="1">
        <v>2</v>
      </c>
      <c r="D43" s="1">
        <v>27</v>
      </c>
      <c r="E43" s="1">
        <v>0</v>
      </c>
      <c r="F43" s="1">
        <v>3</v>
      </c>
      <c r="G43" s="1" t="s">
        <v>19</v>
      </c>
      <c r="H43" s="1" t="s">
        <v>19</v>
      </c>
      <c r="I43" s="1">
        <v>1</v>
      </c>
      <c r="J43" s="1"/>
      <c r="K43" s="1"/>
      <c r="L43" s="1"/>
      <c r="M43" s="1"/>
      <c r="N43" s="1">
        <v>0</v>
      </c>
      <c r="O43" s="1">
        <v>92</v>
      </c>
      <c r="P43" s="1">
        <v>371.93</v>
      </c>
      <c r="Q43" s="1">
        <v>0</v>
      </c>
      <c r="R43" s="1">
        <v>0</v>
      </c>
      <c r="Y43" s="1">
        <v>371.93</v>
      </c>
      <c r="Z43" s="1">
        <v>0</v>
      </c>
      <c r="AA43" s="1">
        <v>0</v>
      </c>
    </row>
    <row r="44" spans="1:27" x14ac:dyDescent="0.25">
      <c r="A44" s="1" t="s">
        <v>30</v>
      </c>
      <c r="B44" s="1">
        <v>18</v>
      </c>
      <c r="C44" s="1">
        <v>3</v>
      </c>
      <c r="D44" s="1">
        <v>5</v>
      </c>
      <c r="E44" s="1">
        <v>6</v>
      </c>
      <c r="F44" s="1">
        <v>3</v>
      </c>
      <c r="G44" s="1" t="s">
        <v>19</v>
      </c>
      <c r="H44" s="1" t="s">
        <v>19</v>
      </c>
      <c r="I44" s="1">
        <v>1</v>
      </c>
      <c r="J44" s="1"/>
      <c r="K44" s="1"/>
      <c r="L44" s="1"/>
      <c r="M44" s="1"/>
      <c r="N44" s="1">
        <v>76</v>
      </c>
      <c r="O44" s="1">
        <v>86</v>
      </c>
      <c r="P44" s="1">
        <v>79.16</v>
      </c>
      <c r="Q44" s="1">
        <v>375.01</v>
      </c>
      <c r="R44" s="1">
        <v>0</v>
      </c>
      <c r="Y44" s="1">
        <v>79.16</v>
      </c>
      <c r="Z44" s="1">
        <v>375.01</v>
      </c>
      <c r="AA44" s="1">
        <v>0</v>
      </c>
    </row>
    <row r="45" spans="1:27" x14ac:dyDescent="0.25">
      <c r="A45" s="1" t="s">
        <v>31</v>
      </c>
      <c r="B45" s="1">
        <v>17</v>
      </c>
      <c r="C45" s="1">
        <v>1</v>
      </c>
      <c r="D45" s="1">
        <v>0</v>
      </c>
      <c r="E45" s="1">
        <v>12</v>
      </c>
      <c r="F45" s="1">
        <v>3</v>
      </c>
      <c r="G45" s="1" t="s">
        <v>19</v>
      </c>
      <c r="H45" s="1" t="s">
        <v>19</v>
      </c>
      <c r="I45" s="1">
        <v>1</v>
      </c>
      <c r="J45" s="1"/>
      <c r="K45" s="1"/>
      <c r="L45" s="1"/>
      <c r="M45" s="1"/>
      <c r="N45" s="1">
        <v>79</v>
      </c>
      <c r="O45" s="1">
        <v>0</v>
      </c>
      <c r="P45" s="1">
        <v>0</v>
      </c>
      <c r="Q45" s="1">
        <v>384.19</v>
      </c>
      <c r="R45" s="1">
        <v>0</v>
      </c>
      <c r="Y45" s="1">
        <v>0</v>
      </c>
      <c r="Z45" s="1">
        <v>384.19</v>
      </c>
      <c r="AA45" s="1">
        <v>0</v>
      </c>
    </row>
    <row r="46" spans="1:27" x14ac:dyDescent="0.25">
      <c r="A46" s="1" t="s">
        <v>36</v>
      </c>
      <c r="B46" s="1">
        <v>16</v>
      </c>
      <c r="C46" s="1">
        <v>2</v>
      </c>
      <c r="D46" s="1">
        <v>9</v>
      </c>
      <c r="E46" s="1">
        <v>8</v>
      </c>
      <c r="F46" s="1">
        <v>3</v>
      </c>
      <c r="G46" s="1" t="s">
        <v>19</v>
      </c>
      <c r="H46" s="1" t="s">
        <v>19</v>
      </c>
      <c r="I46" s="1">
        <v>1</v>
      </c>
      <c r="J46" s="1"/>
      <c r="K46" s="1"/>
      <c r="L46" s="1"/>
      <c r="M46" s="1"/>
      <c r="N46" s="1">
        <v>79</v>
      </c>
      <c r="O46" s="1">
        <v>79</v>
      </c>
      <c r="P46" s="1">
        <v>13.85</v>
      </c>
      <c r="Q46" s="1">
        <v>451.44</v>
      </c>
      <c r="R46" s="1">
        <v>0</v>
      </c>
      <c r="Y46" s="1">
        <v>13.85</v>
      </c>
      <c r="Z46" s="1">
        <v>451.44</v>
      </c>
      <c r="AA46" s="1">
        <v>0</v>
      </c>
    </row>
    <row r="47" spans="1:27" x14ac:dyDescent="0.25">
      <c r="A47" s="1" t="s">
        <v>40</v>
      </c>
      <c r="B47" s="1">
        <v>15</v>
      </c>
      <c r="C47" s="1">
        <v>2</v>
      </c>
      <c r="D47" s="1">
        <v>32</v>
      </c>
      <c r="E47" s="1">
        <v>0</v>
      </c>
      <c r="F47" s="1">
        <v>3</v>
      </c>
      <c r="G47" s="1" t="s">
        <v>19</v>
      </c>
      <c r="H47" s="1" t="s">
        <v>19</v>
      </c>
      <c r="I47" s="1">
        <v>1</v>
      </c>
      <c r="J47" s="1"/>
      <c r="K47" s="1"/>
      <c r="L47" s="1"/>
      <c r="M47" s="1"/>
      <c r="N47" s="1">
        <v>0</v>
      </c>
      <c r="O47" s="1">
        <v>86</v>
      </c>
      <c r="P47" s="1">
        <v>444.77</v>
      </c>
      <c r="Q47" s="1">
        <v>0</v>
      </c>
      <c r="R47" s="1">
        <v>0</v>
      </c>
      <c r="Y47" s="1">
        <v>444.77</v>
      </c>
      <c r="Z47" s="1">
        <v>0</v>
      </c>
      <c r="AA47" s="1">
        <v>0</v>
      </c>
    </row>
    <row r="48" spans="1:27" x14ac:dyDescent="0.25">
      <c r="A48" s="1" t="s">
        <v>45</v>
      </c>
      <c r="B48" s="1">
        <v>14</v>
      </c>
      <c r="C48" s="1">
        <v>2</v>
      </c>
      <c r="D48" s="1">
        <v>16</v>
      </c>
      <c r="E48" s="1">
        <v>6</v>
      </c>
      <c r="F48" s="1">
        <v>3</v>
      </c>
      <c r="G48" s="1" t="s">
        <v>19</v>
      </c>
      <c r="H48" s="1" t="s">
        <v>19</v>
      </c>
      <c r="I48" s="1">
        <v>1</v>
      </c>
      <c r="J48" s="1"/>
      <c r="K48" s="1"/>
      <c r="L48" s="1"/>
      <c r="M48" s="1"/>
      <c r="N48" s="1">
        <v>74</v>
      </c>
      <c r="O48" s="1">
        <v>20</v>
      </c>
      <c r="P48" s="1">
        <v>1.1499999999999999</v>
      </c>
      <c r="Q48" s="1">
        <v>419.39</v>
      </c>
      <c r="R48" s="1">
        <v>0</v>
      </c>
      <c r="Y48" s="1">
        <v>1.1499999999999999</v>
      </c>
      <c r="Z48" s="1">
        <v>419.39</v>
      </c>
      <c r="AA48" s="1">
        <v>0</v>
      </c>
    </row>
    <row r="49" spans="1:27" x14ac:dyDescent="0.25">
      <c r="A49" s="1" t="s">
        <v>49</v>
      </c>
      <c r="B49" s="1">
        <v>13</v>
      </c>
      <c r="C49" s="1">
        <v>3</v>
      </c>
      <c r="D49" s="1">
        <v>17</v>
      </c>
      <c r="E49" s="1">
        <v>0</v>
      </c>
      <c r="F49" s="1">
        <v>3</v>
      </c>
      <c r="G49" s="1" t="s">
        <v>19</v>
      </c>
      <c r="H49" s="1" t="s">
        <v>19</v>
      </c>
      <c r="I49" s="1">
        <v>1</v>
      </c>
      <c r="J49" s="1"/>
      <c r="K49" s="1"/>
      <c r="L49" s="1"/>
      <c r="M49" s="1"/>
      <c r="N49" s="1">
        <v>0</v>
      </c>
      <c r="O49" s="1">
        <v>94</v>
      </c>
      <c r="P49" s="1">
        <v>401.96</v>
      </c>
      <c r="Q49" s="1">
        <v>0</v>
      </c>
      <c r="R49" s="1">
        <v>0</v>
      </c>
      <c r="Y49" s="1">
        <v>401.96</v>
      </c>
      <c r="Z49" s="1">
        <v>0</v>
      </c>
      <c r="AA49" s="1">
        <v>0</v>
      </c>
    </row>
    <row r="50" spans="1:27" x14ac:dyDescent="0.25">
      <c r="A50" s="1" t="s">
        <v>51</v>
      </c>
      <c r="B50" s="1">
        <v>12</v>
      </c>
      <c r="C50" s="1">
        <v>2</v>
      </c>
      <c r="D50" s="1">
        <v>0</v>
      </c>
      <c r="E50" s="1">
        <v>11</v>
      </c>
      <c r="F50" s="1">
        <v>3</v>
      </c>
      <c r="G50" s="1" t="s">
        <v>19</v>
      </c>
      <c r="H50" s="1" t="s">
        <v>19</v>
      </c>
      <c r="I50" s="1">
        <v>1</v>
      </c>
      <c r="J50" s="1"/>
      <c r="K50" s="1"/>
      <c r="L50" s="1"/>
      <c r="M50" s="1"/>
      <c r="N50" s="1">
        <v>61</v>
      </c>
      <c r="O50" s="1">
        <v>0</v>
      </c>
      <c r="P50" s="1">
        <v>0</v>
      </c>
      <c r="Q50" s="1">
        <v>366.33</v>
      </c>
      <c r="R50" s="1">
        <v>0</v>
      </c>
      <c r="Y50" s="1">
        <v>0</v>
      </c>
      <c r="Z50" s="1">
        <v>366.33</v>
      </c>
      <c r="AA50" s="1">
        <v>0</v>
      </c>
    </row>
    <row r="51" spans="1:27" x14ac:dyDescent="0.25">
      <c r="A51" s="1" t="s">
        <v>53</v>
      </c>
      <c r="B51" s="1">
        <v>11</v>
      </c>
      <c r="C51" s="1">
        <v>1</v>
      </c>
      <c r="D51" s="1">
        <v>10</v>
      </c>
      <c r="E51" s="1">
        <v>9</v>
      </c>
      <c r="F51" s="1">
        <v>3</v>
      </c>
      <c r="G51" s="1" t="s">
        <v>19</v>
      </c>
      <c r="H51" s="1" t="s">
        <v>19</v>
      </c>
      <c r="I51" s="1">
        <v>1</v>
      </c>
      <c r="J51" s="1"/>
      <c r="K51" s="1"/>
      <c r="L51" s="1"/>
      <c r="M51" s="1"/>
      <c r="N51" s="1">
        <v>62</v>
      </c>
      <c r="O51" s="1">
        <v>101</v>
      </c>
      <c r="P51" s="1">
        <v>180.4</v>
      </c>
      <c r="Q51" s="1">
        <v>150.21</v>
      </c>
      <c r="R51" s="1">
        <v>0</v>
      </c>
      <c r="Y51" s="1">
        <v>180.4</v>
      </c>
      <c r="Z51" s="1">
        <v>150.21</v>
      </c>
      <c r="AA51" s="1">
        <v>0</v>
      </c>
    </row>
    <row r="52" spans="1:27" x14ac:dyDescent="0.25">
      <c r="A52" s="1" t="s">
        <v>59</v>
      </c>
      <c r="B52" s="1">
        <v>10</v>
      </c>
      <c r="C52" s="1">
        <v>3</v>
      </c>
      <c r="D52" s="1">
        <v>13</v>
      </c>
      <c r="E52" s="1">
        <v>4</v>
      </c>
      <c r="F52" s="1">
        <v>3</v>
      </c>
      <c r="G52" s="1" t="s">
        <v>19</v>
      </c>
      <c r="H52" s="1" t="s">
        <v>19</v>
      </c>
      <c r="I52" s="1">
        <v>1</v>
      </c>
      <c r="J52" s="1"/>
      <c r="K52" s="1"/>
      <c r="L52" s="1"/>
      <c r="M52" s="1"/>
      <c r="N52" s="1">
        <v>72</v>
      </c>
      <c r="O52" s="1">
        <v>94</v>
      </c>
      <c r="P52" s="1">
        <v>206.44</v>
      </c>
      <c r="Q52" s="1">
        <v>154.16</v>
      </c>
      <c r="R52" s="1">
        <v>0</v>
      </c>
      <c r="Y52" s="1">
        <v>206.44</v>
      </c>
      <c r="Z52" s="1">
        <v>154.16</v>
      </c>
      <c r="AA52" s="1">
        <v>0</v>
      </c>
    </row>
    <row r="53" spans="1:27" x14ac:dyDescent="0.25">
      <c r="A53" s="1" t="s">
        <v>62</v>
      </c>
      <c r="B53" s="1">
        <v>9</v>
      </c>
      <c r="C53" s="1">
        <v>3</v>
      </c>
      <c r="D53" s="1">
        <v>27</v>
      </c>
      <c r="E53" s="1">
        <v>0</v>
      </c>
      <c r="F53" s="1">
        <v>3</v>
      </c>
      <c r="G53" s="1" t="s">
        <v>19</v>
      </c>
      <c r="H53" s="1" t="s">
        <v>19</v>
      </c>
      <c r="I53" s="1">
        <v>1</v>
      </c>
      <c r="J53" s="1"/>
      <c r="K53" s="1"/>
      <c r="L53" s="1"/>
      <c r="M53" s="1"/>
      <c r="N53" s="1">
        <v>0</v>
      </c>
      <c r="O53" s="1">
        <v>80</v>
      </c>
      <c r="P53" s="1">
        <v>78.52</v>
      </c>
      <c r="Q53" s="1">
        <v>0</v>
      </c>
      <c r="R53" s="1">
        <v>0</v>
      </c>
      <c r="Y53" s="1">
        <v>78.52</v>
      </c>
      <c r="Z53" s="1">
        <v>0</v>
      </c>
      <c r="AA53" s="1">
        <v>0</v>
      </c>
    </row>
    <row r="54" spans="1:27" x14ac:dyDescent="0.25">
      <c r="A54" s="1" t="s">
        <v>63</v>
      </c>
      <c r="B54" s="1">
        <v>8</v>
      </c>
      <c r="C54" s="1">
        <v>1</v>
      </c>
      <c r="D54" s="1">
        <v>14</v>
      </c>
      <c r="E54" s="1">
        <v>9</v>
      </c>
      <c r="F54" s="1">
        <v>3</v>
      </c>
      <c r="G54" s="1" t="s">
        <v>19</v>
      </c>
      <c r="H54" s="1" t="s">
        <v>19</v>
      </c>
      <c r="I54" s="1">
        <v>1</v>
      </c>
      <c r="J54" s="1"/>
      <c r="K54" s="1"/>
      <c r="L54" s="1"/>
      <c r="M54" s="1"/>
      <c r="N54" s="1">
        <v>64</v>
      </c>
      <c r="O54" s="1">
        <v>90</v>
      </c>
      <c r="P54" s="1">
        <v>8.82</v>
      </c>
      <c r="Q54" s="1">
        <v>231.69</v>
      </c>
      <c r="R54" s="1">
        <v>0</v>
      </c>
      <c r="Y54" s="1">
        <v>8.82</v>
      </c>
      <c r="Z54" s="1">
        <v>231.69</v>
      </c>
      <c r="AA54" s="1">
        <v>0</v>
      </c>
    </row>
    <row r="55" spans="1:27" x14ac:dyDescent="0.25">
      <c r="A55" s="1" t="s">
        <v>67</v>
      </c>
      <c r="B55" s="1">
        <v>7</v>
      </c>
      <c r="C55" s="1">
        <v>2</v>
      </c>
      <c r="D55" s="1">
        <v>37</v>
      </c>
      <c r="E55" s="1">
        <v>0</v>
      </c>
      <c r="F55" s="1">
        <v>3</v>
      </c>
      <c r="G55" s="1" t="s">
        <v>19</v>
      </c>
      <c r="H55" s="1" t="s">
        <v>19</v>
      </c>
      <c r="I55" s="1">
        <v>1</v>
      </c>
      <c r="J55" s="1"/>
      <c r="K55" s="1"/>
      <c r="L55" s="1"/>
      <c r="M55" s="1"/>
      <c r="N55" s="1">
        <v>0</v>
      </c>
      <c r="O55" s="1">
        <v>98</v>
      </c>
      <c r="P55" s="1">
        <f>205.31+175.14</f>
        <v>380.45</v>
      </c>
      <c r="Q55" s="1">
        <v>0</v>
      </c>
      <c r="R55" s="1">
        <v>0</v>
      </c>
      <c r="Y55" s="1">
        <f>205.31+175.14</f>
        <v>380.45</v>
      </c>
      <c r="Z55" s="1">
        <v>0</v>
      </c>
      <c r="AA55" s="1">
        <v>0</v>
      </c>
    </row>
    <row r="56" spans="1:27" x14ac:dyDescent="0.25">
      <c r="A56" s="1" t="s">
        <v>70</v>
      </c>
      <c r="B56" s="1">
        <v>6</v>
      </c>
      <c r="C56" s="1">
        <v>2</v>
      </c>
      <c r="D56" s="1">
        <v>11</v>
      </c>
      <c r="E56" s="1">
        <v>9</v>
      </c>
      <c r="F56" s="1">
        <v>3</v>
      </c>
      <c r="G56" s="1" t="s">
        <v>19</v>
      </c>
      <c r="H56" s="1" t="s">
        <v>19</v>
      </c>
      <c r="I56" s="1">
        <v>1</v>
      </c>
      <c r="J56" s="1"/>
      <c r="K56" s="1"/>
      <c r="L56" s="1"/>
      <c r="M56" s="1"/>
      <c r="N56" s="1">
        <v>87</v>
      </c>
      <c r="O56" s="1">
        <v>95</v>
      </c>
      <c r="P56" s="1">
        <v>77.760000000000005</v>
      </c>
      <c r="Q56" s="1">
        <v>251.93</v>
      </c>
      <c r="R56" s="1">
        <v>0</v>
      </c>
      <c r="Y56" s="1">
        <v>77.760000000000005</v>
      </c>
      <c r="Z56" s="1">
        <v>251.93</v>
      </c>
      <c r="AA56" s="1">
        <v>0</v>
      </c>
    </row>
    <row r="57" spans="1:27" x14ac:dyDescent="0.25">
      <c r="A57" s="1" t="s">
        <v>73</v>
      </c>
      <c r="B57" s="1">
        <v>5</v>
      </c>
      <c r="C57" s="1">
        <v>2</v>
      </c>
      <c r="D57" s="1">
        <v>13</v>
      </c>
      <c r="E57" s="1">
        <v>9</v>
      </c>
      <c r="F57" s="1">
        <v>3</v>
      </c>
      <c r="G57" s="1" t="s">
        <v>19</v>
      </c>
      <c r="H57" s="1" t="s">
        <v>19</v>
      </c>
      <c r="I57" s="1">
        <v>1</v>
      </c>
      <c r="J57" s="1"/>
      <c r="K57" s="1"/>
      <c r="L57" s="1"/>
      <c r="M57" s="1"/>
      <c r="N57" s="1">
        <v>72</v>
      </c>
      <c r="O57" s="1">
        <v>81</v>
      </c>
      <c r="P57" s="1">
        <v>169.54</v>
      </c>
      <c r="Q57" s="1">
        <v>130.66</v>
      </c>
      <c r="R57" s="1">
        <v>0</v>
      </c>
      <c r="Y57" s="1">
        <v>169.54</v>
      </c>
      <c r="Z57" s="1">
        <v>130.66</v>
      </c>
      <c r="AA57" s="1">
        <v>0</v>
      </c>
    </row>
    <row r="58" spans="1:27" x14ac:dyDescent="0.25">
      <c r="A58" s="1" t="s">
        <v>77</v>
      </c>
      <c r="B58" s="1">
        <v>4</v>
      </c>
      <c r="C58" s="1">
        <v>3</v>
      </c>
      <c r="D58" s="1">
        <v>0</v>
      </c>
      <c r="E58" s="1">
        <v>9</v>
      </c>
      <c r="F58" s="1">
        <v>3</v>
      </c>
      <c r="G58" s="1" t="s">
        <v>19</v>
      </c>
      <c r="H58" s="1" t="s">
        <v>19</v>
      </c>
      <c r="I58" s="1">
        <v>1</v>
      </c>
      <c r="J58" s="1"/>
      <c r="K58" s="1"/>
      <c r="L58" s="1"/>
      <c r="M58" s="1"/>
      <c r="N58" s="1">
        <v>62</v>
      </c>
      <c r="O58" s="1">
        <v>0</v>
      </c>
      <c r="P58" s="1">
        <v>0</v>
      </c>
      <c r="Q58" s="1">
        <f>165.76+68.88</f>
        <v>234.64</v>
      </c>
      <c r="R58" s="1">
        <v>0</v>
      </c>
      <c r="Y58" s="1">
        <v>0</v>
      </c>
      <c r="Z58" s="1">
        <f>165.76+68.88</f>
        <v>234.64</v>
      </c>
      <c r="AA58" s="1">
        <v>0</v>
      </c>
    </row>
    <row r="59" spans="1:27" x14ac:dyDescent="0.25">
      <c r="A59" s="1" t="s">
        <v>79</v>
      </c>
      <c r="B59" s="1">
        <v>3</v>
      </c>
      <c r="C59" s="1">
        <v>2</v>
      </c>
      <c r="D59" s="1">
        <v>0</v>
      </c>
      <c r="E59" s="1">
        <v>10</v>
      </c>
      <c r="F59" s="1">
        <v>3</v>
      </c>
      <c r="G59" s="1" t="s">
        <v>19</v>
      </c>
      <c r="H59" s="1" t="s">
        <v>19</v>
      </c>
      <c r="I59" s="1">
        <v>1</v>
      </c>
      <c r="J59" s="1"/>
      <c r="K59" s="1"/>
      <c r="L59" s="1"/>
      <c r="M59" s="1"/>
      <c r="N59" s="1">
        <v>59</v>
      </c>
      <c r="O59" s="1">
        <v>0</v>
      </c>
      <c r="P59" s="1">
        <v>0</v>
      </c>
      <c r="Q59" s="1">
        <v>237.31</v>
      </c>
      <c r="R59" s="1">
        <v>0</v>
      </c>
      <c r="Y59" s="1">
        <v>0</v>
      </c>
      <c r="Z59" s="1">
        <v>237.31</v>
      </c>
      <c r="AA59" s="1">
        <v>0</v>
      </c>
    </row>
    <row r="60" spans="1:27" x14ac:dyDescent="0.25">
      <c r="A60" s="1" t="s">
        <v>82</v>
      </c>
      <c r="B60" s="1">
        <v>2</v>
      </c>
      <c r="C60" s="1">
        <v>2</v>
      </c>
      <c r="D60" s="1">
        <v>14</v>
      </c>
      <c r="E60" s="1">
        <v>4</v>
      </c>
      <c r="F60" s="1">
        <v>3</v>
      </c>
      <c r="G60" s="1" t="s">
        <v>19</v>
      </c>
      <c r="H60" s="1" t="s">
        <v>19</v>
      </c>
      <c r="I60" s="1">
        <v>1</v>
      </c>
      <c r="J60" s="1"/>
      <c r="K60" s="1"/>
      <c r="L60" s="1"/>
      <c r="M60" s="1"/>
      <c r="N60" s="1">
        <v>61</v>
      </c>
      <c r="O60" s="1">
        <v>80</v>
      </c>
      <c r="P60" s="1">
        <v>67.8</v>
      </c>
      <c r="Q60" s="1">
        <v>199.87</v>
      </c>
      <c r="R60" s="1">
        <v>0</v>
      </c>
      <c r="Y60" s="1">
        <v>67.8</v>
      </c>
      <c r="Z60" s="1">
        <v>199.87</v>
      </c>
      <c r="AA60" s="1">
        <v>0</v>
      </c>
    </row>
    <row r="61" spans="1:27" x14ac:dyDescent="0.25">
      <c r="A61" s="1" t="s">
        <v>84</v>
      </c>
      <c r="B61" s="1">
        <v>1</v>
      </c>
      <c r="C61" s="1">
        <v>1</v>
      </c>
      <c r="D61" s="1">
        <v>0</v>
      </c>
      <c r="E61" s="1">
        <v>10</v>
      </c>
      <c r="F61" s="1">
        <v>3</v>
      </c>
      <c r="G61" s="1" t="s">
        <v>19</v>
      </c>
      <c r="H61" s="1" t="s">
        <v>19</v>
      </c>
      <c r="I61" s="1">
        <v>1</v>
      </c>
      <c r="J61" s="1"/>
      <c r="K61" s="1"/>
      <c r="L61" s="1"/>
      <c r="M61" s="1"/>
      <c r="N61" s="1">
        <v>54</v>
      </c>
      <c r="O61" s="1">
        <v>0</v>
      </c>
      <c r="P61" s="1">
        <v>0</v>
      </c>
      <c r="Q61" s="1">
        <v>164.27</v>
      </c>
      <c r="R61" s="1">
        <v>0</v>
      </c>
      <c r="Y61" s="1">
        <v>0</v>
      </c>
      <c r="Z61" s="1">
        <v>164.27</v>
      </c>
      <c r="AA61" s="1">
        <v>0</v>
      </c>
    </row>
  </sheetData>
  <sortState xmlns:xlrd2="http://schemas.microsoft.com/office/spreadsheetml/2017/richdata2" ref="A2:AD61">
    <sortCondition ref="F2:F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61F3-638D-44B5-8D1A-B0A448CA1083}">
  <dimension ref="A1:AA21"/>
  <sheetViews>
    <sheetView workbookViewId="0">
      <selection activeCell="A2" sqref="A2:A21"/>
    </sheetView>
  </sheetViews>
  <sheetFormatPr defaultRowHeight="15" x14ac:dyDescent="0.25"/>
  <cols>
    <col min="1" max="1" width="22" bestFit="1" customWidth="1"/>
    <col min="2" max="2" width="15.85546875" bestFit="1" customWidth="1"/>
    <col min="3" max="3" width="16" bestFit="1" customWidth="1"/>
    <col min="4" max="4" width="12.140625" bestFit="1" customWidth="1"/>
    <col min="5" max="5" width="25.140625" bestFit="1" customWidth="1"/>
    <col min="6" max="6" width="44.7109375" bestFit="1" customWidth="1"/>
    <col min="7" max="7" width="48.140625" bestFit="1" customWidth="1"/>
    <col min="8" max="10" width="41.42578125" bestFit="1" customWidth="1"/>
    <col min="11" max="13" width="45.42578125" bestFit="1" customWidth="1"/>
    <col min="14" max="16" width="53" bestFit="1" customWidth="1"/>
    <col min="17" max="19" width="56.5703125" bestFit="1" customWidth="1"/>
    <col min="20" max="22" width="58.42578125" bestFit="1" customWidth="1"/>
    <col min="23" max="23" width="39" bestFit="1" customWidth="1"/>
    <col min="24" max="24" width="49.28515625" bestFit="1" customWidth="1"/>
    <col min="25" max="25" width="8.85546875" customWidth="1"/>
    <col min="26" max="26" width="8.7109375" customWidth="1"/>
    <col min="27" max="27" width="9.140625" customWidth="1"/>
  </cols>
  <sheetData>
    <row r="1" spans="1:27" ht="15.75" thickBot="1" x14ac:dyDescent="0.3">
      <c r="A1" s="3" t="s">
        <v>247</v>
      </c>
      <c r="B1" t="s">
        <v>102</v>
      </c>
      <c r="C1" t="s">
        <v>103</v>
      </c>
      <c r="D1" t="s">
        <v>1</v>
      </c>
      <c r="E1" t="s">
        <v>104</v>
      </c>
      <c r="F1" t="s">
        <v>88</v>
      </c>
      <c r="G1" t="s">
        <v>89</v>
      </c>
      <c r="H1" t="s">
        <v>8</v>
      </c>
      <c r="I1" t="s">
        <v>90</v>
      </c>
      <c r="J1" t="s">
        <v>91</v>
      </c>
      <c r="K1" t="s">
        <v>7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15</v>
      </c>
      <c r="U1" t="s">
        <v>100</v>
      </c>
      <c r="V1" t="s">
        <v>101</v>
      </c>
      <c r="W1" t="s">
        <v>105</v>
      </c>
      <c r="X1" t="s">
        <v>106</v>
      </c>
      <c r="Y1" t="s">
        <v>251</v>
      </c>
      <c r="Z1" t="s">
        <v>252</v>
      </c>
      <c r="AA1" t="s">
        <v>253</v>
      </c>
    </row>
    <row r="2" spans="1:27" x14ac:dyDescent="0.25">
      <c r="A2" t="s">
        <v>417</v>
      </c>
      <c r="B2" t="s">
        <v>107</v>
      </c>
      <c r="C2" t="s">
        <v>23</v>
      </c>
      <c r="D2">
        <v>101</v>
      </c>
      <c r="E2" t="s">
        <v>57</v>
      </c>
      <c r="F2">
        <v>19</v>
      </c>
      <c r="G2">
        <v>6</v>
      </c>
      <c r="H2">
        <v>35</v>
      </c>
      <c r="I2">
        <v>68</v>
      </c>
      <c r="J2">
        <v>98</v>
      </c>
      <c r="K2">
        <v>35</v>
      </c>
      <c r="L2">
        <v>50</v>
      </c>
      <c r="M2">
        <v>60</v>
      </c>
      <c r="N2">
        <v>83</v>
      </c>
      <c r="O2">
        <v>184</v>
      </c>
      <c r="P2">
        <v>411.3</v>
      </c>
      <c r="Q2">
        <v>56.9</v>
      </c>
      <c r="R2">
        <v>76.599999999999994</v>
      </c>
      <c r="S2">
        <v>141</v>
      </c>
      <c r="T2" t="s">
        <v>19</v>
      </c>
      <c r="U2" t="s">
        <v>19</v>
      </c>
      <c r="V2" t="s">
        <v>19</v>
      </c>
      <c r="W2">
        <v>156</v>
      </c>
      <c r="X2">
        <v>148</v>
      </c>
      <c r="Y2" t="s">
        <v>128</v>
      </c>
      <c r="Z2" t="s">
        <v>168</v>
      </c>
      <c r="AA2" t="s">
        <v>208</v>
      </c>
    </row>
    <row r="3" spans="1:27" x14ac:dyDescent="0.25">
      <c r="A3" t="s">
        <v>418</v>
      </c>
      <c r="B3" t="s">
        <v>108</v>
      </c>
      <c r="D3">
        <v>102</v>
      </c>
      <c r="E3" t="s">
        <v>27</v>
      </c>
      <c r="F3" t="s">
        <v>19</v>
      </c>
      <c r="G3">
        <v>15</v>
      </c>
      <c r="H3" t="s">
        <v>19</v>
      </c>
      <c r="I3" t="s">
        <v>19</v>
      </c>
      <c r="J3" t="s">
        <v>19</v>
      </c>
      <c r="K3">
        <v>36</v>
      </c>
      <c r="L3">
        <v>60</v>
      </c>
      <c r="M3">
        <v>92</v>
      </c>
      <c r="N3" t="s">
        <v>19</v>
      </c>
      <c r="O3" t="s">
        <v>19</v>
      </c>
      <c r="P3" t="s">
        <v>19</v>
      </c>
      <c r="Q3">
        <v>125</v>
      </c>
      <c r="R3">
        <v>234.4</v>
      </c>
      <c r="S3">
        <v>465.5</v>
      </c>
      <c r="T3" t="s">
        <v>19</v>
      </c>
      <c r="U3" t="s">
        <v>19</v>
      </c>
      <c r="V3" t="s">
        <v>19</v>
      </c>
      <c r="W3" t="s">
        <v>19</v>
      </c>
      <c r="X3">
        <v>149</v>
      </c>
      <c r="Y3" t="s">
        <v>130</v>
      </c>
      <c r="Z3" t="s">
        <v>170</v>
      </c>
      <c r="AA3" t="s">
        <v>210</v>
      </c>
    </row>
    <row r="4" spans="1:27" x14ac:dyDescent="0.25">
      <c r="A4" t="s">
        <v>419</v>
      </c>
      <c r="B4" t="s">
        <v>109</v>
      </c>
      <c r="C4" t="s">
        <v>44</v>
      </c>
      <c r="D4">
        <v>201</v>
      </c>
      <c r="E4" t="s">
        <v>27</v>
      </c>
      <c r="F4">
        <v>16</v>
      </c>
      <c r="G4">
        <v>7</v>
      </c>
      <c r="H4">
        <v>31</v>
      </c>
      <c r="I4">
        <v>64</v>
      </c>
      <c r="J4">
        <v>96</v>
      </c>
      <c r="K4">
        <v>28</v>
      </c>
      <c r="L4">
        <v>52</v>
      </c>
      <c r="M4">
        <v>60</v>
      </c>
      <c r="N4">
        <v>68</v>
      </c>
      <c r="O4">
        <v>153.9</v>
      </c>
      <c r="P4">
        <v>382.8</v>
      </c>
      <c r="Q4">
        <v>55.1</v>
      </c>
      <c r="R4">
        <v>52.6</v>
      </c>
      <c r="S4">
        <v>172.5</v>
      </c>
      <c r="T4" t="s">
        <v>19</v>
      </c>
      <c r="U4" t="s">
        <v>19</v>
      </c>
      <c r="V4" t="s">
        <v>19</v>
      </c>
      <c r="W4">
        <v>155</v>
      </c>
      <c r="X4">
        <v>150</v>
      </c>
      <c r="Y4" t="s">
        <v>132</v>
      </c>
      <c r="Z4" t="s">
        <v>172</v>
      </c>
      <c r="AA4" t="s">
        <v>212</v>
      </c>
    </row>
    <row r="5" spans="1:27" x14ac:dyDescent="0.25">
      <c r="A5" t="s">
        <v>420</v>
      </c>
      <c r="B5" t="s">
        <v>110</v>
      </c>
      <c r="D5">
        <v>202</v>
      </c>
      <c r="E5" t="s">
        <v>57</v>
      </c>
      <c r="F5" t="s">
        <v>19</v>
      </c>
      <c r="G5">
        <v>22</v>
      </c>
      <c r="H5" t="s">
        <v>19</v>
      </c>
      <c r="I5" t="s">
        <v>19</v>
      </c>
      <c r="J5" t="s">
        <v>19</v>
      </c>
      <c r="K5">
        <v>34</v>
      </c>
      <c r="L5">
        <v>61</v>
      </c>
      <c r="M5">
        <v>62</v>
      </c>
      <c r="N5" t="s">
        <v>19</v>
      </c>
      <c r="O5" t="s">
        <v>19</v>
      </c>
      <c r="P5" t="s">
        <v>19</v>
      </c>
      <c r="Q5">
        <v>120.7</v>
      </c>
      <c r="R5">
        <v>243</v>
      </c>
      <c r="S5">
        <v>418.8</v>
      </c>
      <c r="T5" t="s">
        <v>19</v>
      </c>
      <c r="U5" t="s">
        <v>19</v>
      </c>
      <c r="V5" t="s">
        <v>19</v>
      </c>
      <c r="W5" t="s">
        <v>19</v>
      </c>
      <c r="X5">
        <v>146</v>
      </c>
      <c r="Y5" t="s">
        <v>134</v>
      </c>
      <c r="Z5" t="s">
        <v>174</v>
      </c>
      <c r="AA5" t="s">
        <v>214</v>
      </c>
    </row>
    <row r="6" spans="1:27" x14ac:dyDescent="0.25">
      <c r="A6" t="s">
        <v>421</v>
      </c>
      <c r="B6" t="s">
        <v>111</v>
      </c>
      <c r="C6" t="s">
        <v>28</v>
      </c>
      <c r="D6">
        <v>301</v>
      </c>
      <c r="E6" t="s">
        <v>27</v>
      </c>
      <c r="F6">
        <v>13</v>
      </c>
      <c r="G6">
        <v>9</v>
      </c>
      <c r="H6">
        <v>36</v>
      </c>
      <c r="I6">
        <v>65</v>
      </c>
      <c r="J6">
        <v>97</v>
      </c>
      <c r="K6">
        <v>34</v>
      </c>
      <c r="L6">
        <v>50</v>
      </c>
      <c r="M6">
        <v>77</v>
      </c>
      <c r="N6">
        <v>89.1</v>
      </c>
      <c r="O6">
        <v>164.4</v>
      </c>
      <c r="P6">
        <v>351.2</v>
      </c>
      <c r="Q6">
        <v>62.5</v>
      </c>
      <c r="R6">
        <v>66.8</v>
      </c>
      <c r="S6">
        <v>161.1</v>
      </c>
      <c r="T6" t="s">
        <v>19</v>
      </c>
      <c r="U6" t="s">
        <v>19</v>
      </c>
      <c r="V6" t="s">
        <v>19</v>
      </c>
      <c r="W6">
        <v>149</v>
      </c>
      <c r="X6">
        <v>150</v>
      </c>
      <c r="Y6" t="s">
        <v>136</v>
      </c>
      <c r="Z6" t="s">
        <v>176</v>
      </c>
      <c r="AA6" t="s">
        <v>216</v>
      </c>
    </row>
    <row r="7" spans="1:27" x14ac:dyDescent="0.25">
      <c r="A7" t="s">
        <v>422</v>
      </c>
      <c r="B7" t="s">
        <v>112</v>
      </c>
      <c r="C7" t="s">
        <v>39</v>
      </c>
      <c r="D7">
        <v>302</v>
      </c>
      <c r="F7">
        <v>22</v>
      </c>
      <c r="G7" t="s">
        <v>19</v>
      </c>
      <c r="H7">
        <v>36</v>
      </c>
      <c r="I7">
        <v>64</v>
      </c>
      <c r="J7">
        <v>96</v>
      </c>
      <c r="K7" t="s">
        <v>19</v>
      </c>
      <c r="L7" t="s">
        <v>19</v>
      </c>
      <c r="M7" t="s">
        <v>19</v>
      </c>
      <c r="N7">
        <v>137.6</v>
      </c>
      <c r="O7">
        <v>226.5</v>
      </c>
      <c r="P7">
        <v>630.9</v>
      </c>
      <c r="Q7" t="s">
        <v>19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>
        <v>148</v>
      </c>
      <c r="X7" t="s">
        <v>19</v>
      </c>
      <c r="Y7" t="s">
        <v>138</v>
      </c>
      <c r="Z7" t="s">
        <v>178</v>
      </c>
      <c r="AA7" t="s">
        <v>218</v>
      </c>
    </row>
    <row r="8" spans="1:27" x14ac:dyDescent="0.25">
      <c r="A8" t="s">
        <v>423</v>
      </c>
      <c r="B8" t="s">
        <v>113</v>
      </c>
      <c r="C8" t="s">
        <v>18</v>
      </c>
      <c r="D8">
        <v>401</v>
      </c>
      <c r="F8">
        <v>22</v>
      </c>
      <c r="G8" t="s">
        <v>19</v>
      </c>
      <c r="H8">
        <v>37</v>
      </c>
      <c r="I8">
        <v>67</v>
      </c>
      <c r="J8">
        <v>102</v>
      </c>
      <c r="K8" t="s">
        <v>19</v>
      </c>
      <c r="L8" t="s">
        <v>19</v>
      </c>
      <c r="M8" t="s">
        <v>19</v>
      </c>
      <c r="N8">
        <v>139</v>
      </c>
      <c r="O8">
        <v>281.2</v>
      </c>
      <c r="P8">
        <v>557.4</v>
      </c>
      <c r="Q8" t="s">
        <v>19</v>
      </c>
      <c r="R8" t="s">
        <v>19</v>
      </c>
      <c r="S8" t="s">
        <v>19</v>
      </c>
      <c r="T8" t="s">
        <v>19</v>
      </c>
      <c r="U8" t="s">
        <v>19</v>
      </c>
      <c r="V8" t="s">
        <v>19</v>
      </c>
      <c r="W8">
        <v>152</v>
      </c>
      <c r="X8" t="s">
        <v>19</v>
      </c>
      <c r="Y8" t="s">
        <v>140</v>
      </c>
      <c r="Z8" t="s">
        <v>180</v>
      </c>
      <c r="AA8" t="s">
        <v>220</v>
      </c>
    </row>
    <row r="9" spans="1:27" x14ac:dyDescent="0.25">
      <c r="A9" t="s">
        <v>424</v>
      </c>
      <c r="B9" t="s">
        <v>114</v>
      </c>
      <c r="C9" t="s">
        <v>23</v>
      </c>
      <c r="D9">
        <v>402</v>
      </c>
      <c r="F9">
        <v>23</v>
      </c>
      <c r="G9" t="s">
        <v>19</v>
      </c>
      <c r="H9">
        <v>37</v>
      </c>
      <c r="I9">
        <v>61</v>
      </c>
      <c r="J9">
        <v>99</v>
      </c>
      <c r="K9" t="s">
        <v>19</v>
      </c>
      <c r="L9" t="s">
        <v>19</v>
      </c>
      <c r="M9" t="s">
        <v>19</v>
      </c>
      <c r="N9">
        <v>128.30000000000001</v>
      </c>
      <c r="O9">
        <v>261.5</v>
      </c>
      <c r="P9">
        <v>530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>
        <v>155</v>
      </c>
      <c r="X9" t="s">
        <v>19</v>
      </c>
      <c r="Y9" t="s">
        <v>142</v>
      </c>
      <c r="Z9" t="s">
        <v>182</v>
      </c>
      <c r="AA9" t="s">
        <v>222</v>
      </c>
    </row>
    <row r="10" spans="1:27" x14ac:dyDescent="0.25">
      <c r="A10" t="s">
        <v>425</v>
      </c>
      <c r="B10" t="s">
        <v>115</v>
      </c>
      <c r="C10" t="s">
        <v>23</v>
      </c>
      <c r="D10">
        <v>501</v>
      </c>
      <c r="E10" t="s">
        <v>35</v>
      </c>
      <c r="F10">
        <v>12</v>
      </c>
      <c r="G10">
        <v>6</v>
      </c>
      <c r="H10">
        <v>36</v>
      </c>
      <c r="I10">
        <v>63</v>
      </c>
      <c r="J10">
        <v>97</v>
      </c>
      <c r="K10">
        <v>38</v>
      </c>
      <c r="L10">
        <v>51</v>
      </c>
      <c r="M10">
        <v>60</v>
      </c>
      <c r="N10">
        <v>101.1</v>
      </c>
      <c r="O10">
        <v>158.19999999999999</v>
      </c>
      <c r="P10">
        <v>483.2</v>
      </c>
      <c r="Q10">
        <v>60.7</v>
      </c>
      <c r="R10">
        <v>59.1</v>
      </c>
      <c r="S10">
        <v>156.1</v>
      </c>
      <c r="T10" t="s">
        <v>19</v>
      </c>
      <c r="U10" t="s">
        <v>19</v>
      </c>
      <c r="V10" t="s">
        <v>19</v>
      </c>
      <c r="W10">
        <v>156</v>
      </c>
      <c r="X10">
        <v>149</v>
      </c>
      <c r="Y10" t="s">
        <v>144</v>
      </c>
      <c r="Z10" t="s">
        <v>184</v>
      </c>
      <c r="AA10" t="s">
        <v>224</v>
      </c>
    </row>
    <row r="11" spans="1:27" x14ac:dyDescent="0.25">
      <c r="A11" t="s">
        <v>426</v>
      </c>
      <c r="B11" t="s">
        <v>116</v>
      </c>
      <c r="C11" t="s">
        <v>39</v>
      </c>
      <c r="D11">
        <v>502</v>
      </c>
      <c r="E11" t="s">
        <v>17</v>
      </c>
      <c r="F11">
        <v>13</v>
      </c>
      <c r="G11">
        <v>5</v>
      </c>
      <c r="H11">
        <v>34</v>
      </c>
      <c r="I11">
        <v>61</v>
      </c>
      <c r="J11">
        <v>96</v>
      </c>
      <c r="K11">
        <v>35</v>
      </c>
      <c r="L11">
        <v>50</v>
      </c>
      <c r="M11">
        <v>60</v>
      </c>
      <c r="N11">
        <v>96.6</v>
      </c>
      <c r="O11">
        <v>152.69999999999999</v>
      </c>
      <c r="P11">
        <v>279.8</v>
      </c>
      <c r="Q11">
        <v>53</v>
      </c>
      <c r="R11">
        <v>73.400000000000006</v>
      </c>
      <c r="S11">
        <v>218.6</v>
      </c>
      <c r="T11" t="s">
        <v>19</v>
      </c>
      <c r="U11" t="s">
        <v>19</v>
      </c>
      <c r="V11" t="s">
        <v>19</v>
      </c>
      <c r="W11">
        <v>149</v>
      </c>
      <c r="X11">
        <v>145</v>
      </c>
      <c r="Y11" t="s">
        <v>146</v>
      </c>
      <c r="Z11" t="s">
        <v>186</v>
      </c>
      <c r="AA11" t="s">
        <v>226</v>
      </c>
    </row>
    <row r="12" spans="1:27" x14ac:dyDescent="0.25">
      <c r="A12" t="s">
        <v>427</v>
      </c>
      <c r="B12" t="s">
        <v>117</v>
      </c>
      <c r="C12" t="s">
        <v>44</v>
      </c>
      <c r="D12">
        <v>601</v>
      </c>
      <c r="E12" t="s">
        <v>43</v>
      </c>
      <c r="F12">
        <v>14</v>
      </c>
      <c r="G12">
        <v>5</v>
      </c>
      <c r="H12">
        <v>34</v>
      </c>
      <c r="I12">
        <v>65</v>
      </c>
      <c r="J12">
        <v>103</v>
      </c>
      <c r="K12">
        <v>35</v>
      </c>
      <c r="L12">
        <v>50</v>
      </c>
      <c r="M12">
        <v>50</v>
      </c>
      <c r="N12">
        <v>120.2</v>
      </c>
      <c r="O12">
        <v>184.4</v>
      </c>
      <c r="P12">
        <v>385.9</v>
      </c>
      <c r="Q12">
        <v>55.7</v>
      </c>
      <c r="R12">
        <v>57.9</v>
      </c>
      <c r="S12">
        <v>129.5</v>
      </c>
      <c r="T12" t="s">
        <v>19</v>
      </c>
      <c r="U12" t="s">
        <v>19</v>
      </c>
      <c r="V12" t="s">
        <v>19</v>
      </c>
      <c r="W12">
        <v>155</v>
      </c>
      <c r="X12">
        <v>145</v>
      </c>
      <c r="Y12" t="s">
        <v>148</v>
      </c>
      <c r="Z12" t="s">
        <v>188</v>
      </c>
      <c r="AA12" t="s">
        <v>228</v>
      </c>
    </row>
    <row r="13" spans="1:27" x14ac:dyDescent="0.25">
      <c r="A13" t="s">
        <v>428</v>
      </c>
      <c r="B13" t="s">
        <v>118</v>
      </c>
      <c r="C13" t="s">
        <v>39</v>
      </c>
      <c r="D13">
        <v>602</v>
      </c>
      <c r="E13" t="s">
        <v>43</v>
      </c>
      <c r="F13">
        <v>14</v>
      </c>
      <c r="G13">
        <v>9</v>
      </c>
      <c r="H13">
        <v>37</v>
      </c>
      <c r="I13">
        <v>67</v>
      </c>
      <c r="J13">
        <v>94</v>
      </c>
      <c r="K13">
        <v>34</v>
      </c>
      <c r="L13">
        <v>50</v>
      </c>
      <c r="M13">
        <v>63</v>
      </c>
      <c r="N13">
        <v>98.2</v>
      </c>
      <c r="O13">
        <v>195.5</v>
      </c>
      <c r="P13">
        <v>307.5</v>
      </c>
      <c r="Q13">
        <v>64.400000000000006</v>
      </c>
      <c r="R13">
        <v>79.5</v>
      </c>
      <c r="S13">
        <v>206.9</v>
      </c>
      <c r="T13" t="s">
        <v>19</v>
      </c>
      <c r="U13" t="s">
        <v>19</v>
      </c>
      <c r="V13" t="s">
        <v>19</v>
      </c>
      <c r="W13">
        <v>149</v>
      </c>
      <c r="X13">
        <v>145</v>
      </c>
      <c r="Y13" t="s">
        <v>150</v>
      </c>
      <c r="Z13" t="s">
        <v>190</v>
      </c>
      <c r="AA13" t="s">
        <v>230</v>
      </c>
    </row>
    <row r="14" spans="1:27" x14ac:dyDescent="0.25">
      <c r="A14" t="s">
        <v>429</v>
      </c>
      <c r="B14" t="s">
        <v>119</v>
      </c>
      <c r="C14" t="s">
        <v>18</v>
      </c>
      <c r="D14">
        <v>701</v>
      </c>
      <c r="E14" t="s">
        <v>17</v>
      </c>
      <c r="F14">
        <v>6</v>
      </c>
      <c r="G14">
        <v>8</v>
      </c>
      <c r="H14">
        <v>40</v>
      </c>
      <c r="I14">
        <v>66</v>
      </c>
      <c r="J14">
        <v>105</v>
      </c>
      <c r="K14">
        <v>34</v>
      </c>
      <c r="L14">
        <v>45</v>
      </c>
      <c r="M14">
        <v>60</v>
      </c>
      <c r="N14">
        <v>84.7</v>
      </c>
      <c r="O14">
        <v>255.5</v>
      </c>
      <c r="P14">
        <v>485.3</v>
      </c>
      <c r="Q14">
        <v>75.099999999999994</v>
      </c>
      <c r="R14">
        <v>33</v>
      </c>
      <c r="S14">
        <v>110.9</v>
      </c>
      <c r="T14" t="s">
        <v>19</v>
      </c>
      <c r="U14" t="s">
        <v>19</v>
      </c>
      <c r="V14" t="s">
        <v>19</v>
      </c>
      <c r="W14">
        <v>152</v>
      </c>
      <c r="X14">
        <v>145</v>
      </c>
      <c r="Y14" t="s">
        <v>152</v>
      </c>
      <c r="Z14" t="s">
        <v>192</v>
      </c>
      <c r="AA14" t="s">
        <v>232</v>
      </c>
    </row>
    <row r="15" spans="1:27" x14ac:dyDescent="0.25">
      <c r="A15" t="s">
        <v>430</v>
      </c>
      <c r="B15" t="s">
        <v>120</v>
      </c>
      <c r="C15" t="s">
        <v>44</v>
      </c>
      <c r="D15">
        <v>702</v>
      </c>
      <c r="F15">
        <v>26</v>
      </c>
      <c r="G15" t="s">
        <v>19</v>
      </c>
      <c r="H15">
        <v>46</v>
      </c>
      <c r="I15">
        <v>72</v>
      </c>
      <c r="J15">
        <v>108</v>
      </c>
      <c r="K15" t="s">
        <v>19</v>
      </c>
      <c r="L15" t="s">
        <v>19</v>
      </c>
      <c r="M15" t="s">
        <v>19</v>
      </c>
      <c r="N15">
        <v>172.8</v>
      </c>
      <c r="O15">
        <v>304.8</v>
      </c>
      <c r="P15">
        <v>561.70000000000005</v>
      </c>
      <c r="Q15" t="s">
        <v>19</v>
      </c>
      <c r="R15" t="s">
        <v>19</v>
      </c>
      <c r="S15" t="s">
        <v>19</v>
      </c>
      <c r="T15" t="s">
        <v>19</v>
      </c>
      <c r="U15" t="s">
        <v>19</v>
      </c>
      <c r="V15" t="s">
        <v>19</v>
      </c>
      <c r="W15">
        <v>154</v>
      </c>
      <c r="X15" t="s">
        <v>19</v>
      </c>
      <c r="Y15" t="s">
        <v>154</v>
      </c>
      <c r="Z15" t="s">
        <v>194</v>
      </c>
      <c r="AA15" t="s">
        <v>234</v>
      </c>
    </row>
    <row r="16" spans="1:27" x14ac:dyDescent="0.25">
      <c r="A16" t="s">
        <v>431</v>
      </c>
      <c r="B16" t="s">
        <v>121</v>
      </c>
      <c r="D16">
        <v>801</v>
      </c>
      <c r="E16" t="s">
        <v>35</v>
      </c>
      <c r="F16" t="s">
        <v>19</v>
      </c>
      <c r="G16">
        <v>12</v>
      </c>
      <c r="H16" t="s">
        <v>19</v>
      </c>
      <c r="I16" t="s">
        <v>19</v>
      </c>
      <c r="J16" t="s">
        <v>19</v>
      </c>
      <c r="K16">
        <v>33</v>
      </c>
      <c r="L16">
        <v>62</v>
      </c>
      <c r="M16">
        <v>80</v>
      </c>
      <c r="N16" t="s">
        <v>19</v>
      </c>
      <c r="O16" t="s">
        <v>19</v>
      </c>
      <c r="P16" t="s">
        <v>19</v>
      </c>
      <c r="Q16">
        <v>108.8</v>
      </c>
      <c r="R16">
        <v>238.8</v>
      </c>
      <c r="S16">
        <v>783.7</v>
      </c>
      <c r="T16" t="s">
        <v>19</v>
      </c>
      <c r="U16" t="s">
        <v>19</v>
      </c>
      <c r="V16" t="s">
        <v>19</v>
      </c>
      <c r="W16" t="s">
        <v>19</v>
      </c>
      <c r="X16">
        <v>148</v>
      </c>
      <c r="Y16" t="s">
        <v>156</v>
      </c>
      <c r="Z16" t="s">
        <v>196</v>
      </c>
      <c r="AA16" t="s">
        <v>236</v>
      </c>
    </row>
    <row r="17" spans="1:27" x14ac:dyDescent="0.25">
      <c r="A17" t="s">
        <v>432</v>
      </c>
      <c r="B17" t="s">
        <v>122</v>
      </c>
      <c r="D17">
        <v>802</v>
      </c>
      <c r="E17" t="s">
        <v>43</v>
      </c>
      <c r="F17" t="s">
        <v>19</v>
      </c>
      <c r="G17">
        <v>15</v>
      </c>
      <c r="H17" t="s">
        <v>19</v>
      </c>
      <c r="I17" t="s">
        <v>19</v>
      </c>
      <c r="J17" t="s">
        <v>19</v>
      </c>
      <c r="K17">
        <v>36</v>
      </c>
      <c r="L17">
        <v>59</v>
      </c>
      <c r="M17">
        <v>75</v>
      </c>
      <c r="N17" t="s">
        <v>19</v>
      </c>
      <c r="O17" t="s">
        <v>19</v>
      </c>
      <c r="P17" t="s">
        <v>19</v>
      </c>
      <c r="Q17">
        <v>127</v>
      </c>
      <c r="R17">
        <v>205.2</v>
      </c>
      <c r="S17">
        <v>700.6</v>
      </c>
      <c r="T17" t="s">
        <v>19</v>
      </c>
      <c r="U17" t="s">
        <v>19</v>
      </c>
      <c r="V17" t="s">
        <v>19</v>
      </c>
      <c r="W17" t="s">
        <v>19</v>
      </c>
      <c r="X17">
        <v>145</v>
      </c>
      <c r="Y17" t="s">
        <v>158</v>
      </c>
      <c r="Z17" t="s">
        <v>198</v>
      </c>
      <c r="AA17" t="s">
        <v>238</v>
      </c>
    </row>
    <row r="18" spans="1:27" x14ac:dyDescent="0.25">
      <c r="A18" t="s">
        <v>433</v>
      </c>
      <c r="B18" t="s">
        <v>123</v>
      </c>
      <c r="C18" t="s">
        <v>18</v>
      </c>
      <c r="D18">
        <v>901</v>
      </c>
      <c r="E18" t="s">
        <v>35</v>
      </c>
      <c r="F18">
        <v>20</v>
      </c>
      <c r="G18">
        <v>5</v>
      </c>
      <c r="H18">
        <v>37</v>
      </c>
      <c r="I18">
        <v>71</v>
      </c>
      <c r="J18">
        <v>110</v>
      </c>
      <c r="K18">
        <v>36</v>
      </c>
      <c r="L18">
        <v>50</v>
      </c>
      <c r="M18">
        <v>60</v>
      </c>
      <c r="N18">
        <v>105.1</v>
      </c>
      <c r="O18">
        <v>212.2</v>
      </c>
      <c r="P18">
        <v>476.7</v>
      </c>
      <c r="Q18">
        <v>67.400000000000006</v>
      </c>
      <c r="R18">
        <v>56.5</v>
      </c>
      <c r="S18">
        <v>149.5</v>
      </c>
      <c r="T18" t="s">
        <v>19</v>
      </c>
      <c r="U18" t="s">
        <v>19</v>
      </c>
      <c r="V18" t="s">
        <v>19</v>
      </c>
      <c r="W18">
        <v>154</v>
      </c>
      <c r="X18">
        <v>150</v>
      </c>
      <c r="Y18" t="s">
        <v>160</v>
      </c>
      <c r="Z18" t="s">
        <v>200</v>
      </c>
      <c r="AA18" t="s">
        <v>240</v>
      </c>
    </row>
    <row r="19" spans="1:27" x14ac:dyDescent="0.25">
      <c r="A19" t="s">
        <v>434</v>
      </c>
      <c r="B19" t="s">
        <v>124</v>
      </c>
      <c r="D19">
        <v>902</v>
      </c>
      <c r="E19" t="s">
        <v>17</v>
      </c>
      <c r="F19" t="s">
        <v>19</v>
      </c>
      <c r="G19">
        <v>10</v>
      </c>
      <c r="H19" t="s">
        <v>19</v>
      </c>
      <c r="I19" t="s">
        <v>19</v>
      </c>
      <c r="J19" t="s">
        <v>19</v>
      </c>
      <c r="K19">
        <v>28</v>
      </c>
      <c r="L19">
        <v>59</v>
      </c>
      <c r="M19">
        <v>62</v>
      </c>
      <c r="N19" t="s">
        <v>19</v>
      </c>
      <c r="O19" t="s">
        <v>19</v>
      </c>
      <c r="P19" t="s">
        <v>19</v>
      </c>
      <c r="Q19">
        <v>115.6</v>
      </c>
      <c r="R19">
        <v>232.8</v>
      </c>
      <c r="S19">
        <v>743.5</v>
      </c>
      <c r="T19" t="s">
        <v>19</v>
      </c>
      <c r="U19" t="s">
        <v>19</v>
      </c>
      <c r="V19" t="s">
        <v>19</v>
      </c>
      <c r="W19" t="s">
        <v>19</v>
      </c>
      <c r="X19">
        <v>145</v>
      </c>
      <c r="Y19" t="s">
        <v>162</v>
      </c>
      <c r="Z19" t="s">
        <v>202</v>
      </c>
      <c r="AA19" t="s">
        <v>242</v>
      </c>
    </row>
    <row r="20" spans="1:27" x14ac:dyDescent="0.25">
      <c r="A20" t="s">
        <v>435</v>
      </c>
      <c r="B20" t="s">
        <v>125</v>
      </c>
      <c r="C20" t="s">
        <v>28</v>
      </c>
      <c r="D20">
        <v>1001</v>
      </c>
      <c r="F20">
        <v>26</v>
      </c>
      <c r="G20" t="s">
        <v>19</v>
      </c>
      <c r="H20">
        <v>42</v>
      </c>
      <c r="I20">
        <v>73</v>
      </c>
      <c r="J20">
        <v>105</v>
      </c>
      <c r="K20" t="s">
        <v>19</v>
      </c>
      <c r="L20" t="s">
        <v>19</v>
      </c>
      <c r="M20" t="s">
        <v>19</v>
      </c>
      <c r="N20">
        <v>173.8</v>
      </c>
      <c r="O20">
        <v>345.4</v>
      </c>
      <c r="P20">
        <v>580.4</v>
      </c>
      <c r="Q20" t="s">
        <v>19</v>
      </c>
      <c r="R20" t="s">
        <v>19</v>
      </c>
      <c r="S20" t="s">
        <v>19</v>
      </c>
      <c r="T20" t="s">
        <v>19</v>
      </c>
      <c r="U20" t="s">
        <v>19</v>
      </c>
      <c r="V20" t="s">
        <v>19</v>
      </c>
      <c r="W20">
        <v>149</v>
      </c>
      <c r="X20" t="s">
        <v>19</v>
      </c>
      <c r="Y20" t="s">
        <v>164</v>
      </c>
      <c r="Z20" t="s">
        <v>204</v>
      </c>
      <c r="AA20" t="s">
        <v>244</v>
      </c>
    </row>
    <row r="21" spans="1:27" x14ac:dyDescent="0.25">
      <c r="A21" t="s">
        <v>436</v>
      </c>
      <c r="B21" t="s">
        <v>126</v>
      </c>
      <c r="C21" t="s">
        <v>28</v>
      </c>
      <c r="D21">
        <v>1002</v>
      </c>
      <c r="E21" t="s">
        <v>57</v>
      </c>
      <c r="F21">
        <v>18</v>
      </c>
      <c r="G21">
        <v>8</v>
      </c>
      <c r="H21">
        <v>38</v>
      </c>
      <c r="I21">
        <v>71</v>
      </c>
      <c r="J21">
        <v>109</v>
      </c>
      <c r="K21">
        <v>39</v>
      </c>
      <c r="L21">
        <v>51</v>
      </c>
      <c r="M21">
        <v>58</v>
      </c>
      <c r="N21">
        <v>96</v>
      </c>
      <c r="O21">
        <v>238.7</v>
      </c>
      <c r="P21">
        <v>514.9</v>
      </c>
      <c r="Q21">
        <v>65.099999999999994</v>
      </c>
      <c r="R21">
        <v>86.7</v>
      </c>
      <c r="S21">
        <v>121.3</v>
      </c>
      <c r="T21" t="s">
        <v>19</v>
      </c>
      <c r="U21" t="s">
        <v>19</v>
      </c>
      <c r="V21" t="s">
        <v>19</v>
      </c>
      <c r="W21">
        <v>149</v>
      </c>
      <c r="X21">
        <v>148</v>
      </c>
      <c r="Y21" t="s">
        <v>166</v>
      </c>
      <c r="Z21" t="s">
        <v>206</v>
      </c>
      <c r="AA21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F439-5179-4797-A3B3-E1F6E17EC9A5}">
  <dimension ref="A1:AJ61"/>
  <sheetViews>
    <sheetView topLeftCell="K1" workbookViewId="0">
      <selection activeCell="S1" sqref="S1:AJ1048576"/>
    </sheetView>
  </sheetViews>
  <sheetFormatPr defaultRowHeight="15" x14ac:dyDescent="0.25"/>
  <cols>
    <col min="1" max="1" width="31.7109375" customWidth="1"/>
    <col min="2" max="2" width="21.140625" customWidth="1"/>
    <col min="3" max="3" width="13.140625" customWidth="1"/>
    <col min="4" max="4" width="18.42578125" customWidth="1"/>
    <col min="5" max="7" width="12" customWidth="1"/>
    <col min="8" max="8" width="14" customWidth="1"/>
    <col min="9" max="15" width="12.28515625" customWidth="1"/>
    <col min="20" max="20" width="41.42578125" bestFit="1" customWidth="1"/>
    <col min="21" max="21" width="4.85546875" customWidth="1"/>
    <col min="26" max="26" width="41.42578125" bestFit="1" customWidth="1"/>
    <col min="32" max="32" width="41.42578125" bestFit="1" customWidth="1"/>
  </cols>
  <sheetData>
    <row r="1" spans="1:36" ht="27" thickBot="1" x14ac:dyDescent="0.3">
      <c r="A1" s="3" t="s">
        <v>247</v>
      </c>
      <c r="B1" s="3" t="s">
        <v>248</v>
      </c>
      <c r="C1" s="3" t="s">
        <v>249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250</v>
      </c>
      <c r="I1" s="6"/>
      <c r="J1" s="6"/>
      <c r="K1" s="6"/>
      <c r="L1" s="6"/>
      <c r="M1" s="6"/>
      <c r="N1" s="6"/>
      <c r="O1" s="6"/>
      <c r="S1" t="s">
        <v>251</v>
      </c>
      <c r="T1" t="s">
        <v>8</v>
      </c>
      <c r="U1" t="s">
        <v>7</v>
      </c>
      <c r="V1" t="s">
        <v>94</v>
      </c>
      <c r="W1" t="s">
        <v>97</v>
      </c>
      <c r="X1" t="s">
        <v>15</v>
      </c>
      <c r="Y1" t="s">
        <v>252</v>
      </c>
      <c r="Z1" t="s">
        <v>90</v>
      </c>
      <c r="AA1" t="s">
        <v>92</v>
      </c>
      <c r="AB1" t="s">
        <v>95</v>
      </c>
      <c r="AC1" t="s">
        <v>98</v>
      </c>
      <c r="AD1" t="s">
        <v>100</v>
      </c>
      <c r="AE1" t="s">
        <v>253</v>
      </c>
      <c r="AF1" t="s">
        <v>91</v>
      </c>
      <c r="AG1" t="s">
        <v>93</v>
      </c>
      <c r="AH1" t="s">
        <v>96</v>
      </c>
      <c r="AI1" t="s">
        <v>99</v>
      </c>
      <c r="AJ1" t="s">
        <v>101</v>
      </c>
    </row>
    <row r="2" spans="1:36" ht="15.75" thickBot="1" x14ac:dyDescent="0.3">
      <c r="A2" s="3" t="s">
        <v>127</v>
      </c>
      <c r="B2" s="4">
        <v>741760</v>
      </c>
      <c r="C2" s="4">
        <v>101.1</v>
      </c>
      <c r="D2" s="4">
        <v>1</v>
      </c>
      <c r="E2" s="4">
        <v>1</v>
      </c>
      <c r="F2" s="3" t="s">
        <v>19</v>
      </c>
      <c r="G2" s="3" t="s">
        <v>19</v>
      </c>
      <c r="H2" s="4" t="s">
        <v>128</v>
      </c>
      <c r="I2" s="7" t="b">
        <f>IF(H2=S2,TRUE,FALSE)</f>
        <v>1</v>
      </c>
      <c r="J2" s="7"/>
      <c r="K2" s="7"/>
      <c r="L2" s="7"/>
      <c r="M2" s="7"/>
      <c r="N2" s="7"/>
      <c r="O2" s="7"/>
      <c r="S2" t="s">
        <v>128</v>
      </c>
      <c r="T2">
        <v>35</v>
      </c>
      <c r="U2">
        <v>35</v>
      </c>
      <c r="V2">
        <v>83</v>
      </c>
      <c r="W2">
        <v>56.9</v>
      </c>
      <c r="X2" t="s">
        <v>19</v>
      </c>
    </row>
    <row r="3" spans="1:36" ht="15.75" thickBot="1" x14ac:dyDescent="0.3">
      <c r="A3" s="3" t="s">
        <v>129</v>
      </c>
      <c r="B3" s="4">
        <v>741787</v>
      </c>
      <c r="C3" s="4">
        <v>102.1</v>
      </c>
      <c r="D3" s="4">
        <v>1</v>
      </c>
      <c r="E3" s="4">
        <v>1</v>
      </c>
      <c r="F3" s="3" t="s">
        <v>19</v>
      </c>
      <c r="G3" s="3" t="s">
        <v>19</v>
      </c>
      <c r="H3" s="4" t="s">
        <v>130</v>
      </c>
      <c r="I3" s="7" t="b">
        <f t="shared" ref="I3:I21" si="0">IF(H3=S3,TRUE,FALSE)</f>
        <v>1</v>
      </c>
      <c r="J3" s="7"/>
      <c r="K3" s="7"/>
      <c r="L3" s="7"/>
      <c r="M3" s="7"/>
      <c r="N3" s="7"/>
      <c r="O3" s="7"/>
      <c r="S3" t="s">
        <v>130</v>
      </c>
      <c r="T3" t="s">
        <v>19</v>
      </c>
      <c r="U3">
        <v>36</v>
      </c>
      <c r="V3" t="s">
        <v>19</v>
      </c>
      <c r="W3">
        <v>125</v>
      </c>
      <c r="X3" t="s">
        <v>19</v>
      </c>
    </row>
    <row r="4" spans="1:36" ht="15.75" thickBot="1" x14ac:dyDescent="0.3">
      <c r="A4" s="3" t="s">
        <v>131</v>
      </c>
      <c r="B4" s="4">
        <v>741764</v>
      </c>
      <c r="C4" s="4">
        <v>201.2</v>
      </c>
      <c r="D4" s="4">
        <v>1</v>
      </c>
      <c r="E4" s="4">
        <v>1</v>
      </c>
      <c r="F4" s="3" t="s">
        <v>19</v>
      </c>
      <c r="G4" s="3" t="s">
        <v>19</v>
      </c>
      <c r="H4" s="4" t="s">
        <v>132</v>
      </c>
      <c r="I4" s="7" t="b">
        <f t="shared" si="0"/>
        <v>1</v>
      </c>
      <c r="J4" s="7"/>
      <c r="K4" s="7"/>
      <c r="L4" s="7"/>
      <c r="M4" s="7"/>
      <c r="N4" s="7"/>
      <c r="O4" s="7"/>
      <c r="S4" t="s">
        <v>132</v>
      </c>
      <c r="T4">
        <v>31</v>
      </c>
      <c r="U4">
        <v>28</v>
      </c>
      <c r="V4">
        <v>68</v>
      </c>
      <c r="W4">
        <v>55.1</v>
      </c>
      <c r="X4" t="s">
        <v>19</v>
      </c>
    </row>
    <row r="5" spans="1:36" ht="15.75" thickBot="1" x14ac:dyDescent="0.3">
      <c r="A5" s="3" t="s">
        <v>133</v>
      </c>
      <c r="B5" s="4">
        <v>741751</v>
      </c>
      <c r="C5" s="4">
        <v>202.1</v>
      </c>
      <c r="D5" s="4">
        <v>1</v>
      </c>
      <c r="E5" s="4">
        <v>1</v>
      </c>
      <c r="F5" s="3" t="s">
        <v>19</v>
      </c>
      <c r="G5" s="3" t="s">
        <v>19</v>
      </c>
      <c r="H5" s="4" t="s">
        <v>134</v>
      </c>
      <c r="I5" s="7" t="b">
        <f t="shared" si="0"/>
        <v>1</v>
      </c>
      <c r="J5" s="7"/>
      <c r="K5" s="7"/>
      <c r="L5" s="7"/>
      <c r="M5" s="7"/>
      <c r="N5" s="7"/>
      <c r="O5" s="7"/>
      <c r="S5" t="s">
        <v>134</v>
      </c>
      <c r="T5" t="s">
        <v>19</v>
      </c>
      <c r="U5">
        <v>34</v>
      </c>
      <c r="V5" t="s">
        <v>19</v>
      </c>
      <c r="W5">
        <v>120.7</v>
      </c>
      <c r="X5" t="s">
        <v>19</v>
      </c>
    </row>
    <row r="6" spans="1:36" ht="15.75" thickBot="1" x14ac:dyDescent="0.3">
      <c r="A6" s="3" t="s">
        <v>135</v>
      </c>
      <c r="B6" s="4">
        <v>741737</v>
      </c>
      <c r="C6" s="4">
        <v>301.2</v>
      </c>
      <c r="D6" s="4">
        <v>1</v>
      </c>
      <c r="E6" s="4">
        <v>1</v>
      </c>
      <c r="F6" s="3" t="s">
        <v>19</v>
      </c>
      <c r="G6" s="3" t="s">
        <v>19</v>
      </c>
      <c r="H6" s="4" t="s">
        <v>136</v>
      </c>
      <c r="I6" s="7" t="b">
        <f t="shared" si="0"/>
        <v>1</v>
      </c>
      <c r="J6" s="7"/>
      <c r="K6" s="7"/>
      <c r="L6" s="7"/>
      <c r="M6" s="7"/>
      <c r="N6" s="7"/>
      <c r="O6" s="7"/>
      <c r="S6" t="s">
        <v>136</v>
      </c>
      <c r="T6">
        <v>36</v>
      </c>
      <c r="U6">
        <v>34</v>
      </c>
      <c r="V6">
        <v>89.1</v>
      </c>
      <c r="W6">
        <v>62.5</v>
      </c>
      <c r="X6" t="s">
        <v>19</v>
      </c>
    </row>
    <row r="7" spans="1:36" ht="15.75" thickBot="1" x14ac:dyDescent="0.3">
      <c r="A7" s="3" t="s">
        <v>137</v>
      </c>
      <c r="B7" s="4">
        <v>741785</v>
      </c>
      <c r="C7" s="4">
        <v>302.2</v>
      </c>
      <c r="D7" s="4">
        <v>1</v>
      </c>
      <c r="E7" s="4">
        <v>1</v>
      </c>
      <c r="F7" s="3" t="s">
        <v>19</v>
      </c>
      <c r="G7" s="3" t="s">
        <v>19</v>
      </c>
      <c r="H7" s="4" t="s">
        <v>138</v>
      </c>
      <c r="I7" s="7" t="b">
        <f t="shared" si="0"/>
        <v>1</v>
      </c>
      <c r="J7" s="7"/>
      <c r="K7" s="7"/>
      <c r="L7" s="7"/>
      <c r="M7" s="7"/>
      <c r="N7" s="7"/>
      <c r="O7" s="7"/>
      <c r="S7" t="s">
        <v>138</v>
      </c>
      <c r="T7">
        <v>36</v>
      </c>
      <c r="U7" t="s">
        <v>19</v>
      </c>
      <c r="V7">
        <v>137.6</v>
      </c>
      <c r="W7" t="s">
        <v>19</v>
      </c>
      <c r="X7" t="s">
        <v>19</v>
      </c>
    </row>
    <row r="8" spans="1:36" ht="15.75" thickBot="1" x14ac:dyDescent="0.3">
      <c r="A8" s="3" t="s">
        <v>139</v>
      </c>
      <c r="B8" s="4">
        <v>741749</v>
      </c>
      <c r="C8" s="4">
        <v>401.2</v>
      </c>
      <c r="D8" s="4">
        <v>1</v>
      </c>
      <c r="E8" s="4">
        <v>1</v>
      </c>
      <c r="F8" s="3" t="s">
        <v>19</v>
      </c>
      <c r="G8" s="3" t="s">
        <v>19</v>
      </c>
      <c r="H8" s="4" t="s">
        <v>140</v>
      </c>
      <c r="I8" s="7" t="b">
        <f t="shared" si="0"/>
        <v>1</v>
      </c>
      <c r="J8" s="7"/>
      <c r="K8" s="7"/>
      <c r="L8" s="7"/>
      <c r="M8" s="7"/>
      <c r="N8" s="7"/>
      <c r="O8" s="7"/>
      <c r="S8" t="s">
        <v>140</v>
      </c>
      <c r="T8">
        <v>37</v>
      </c>
      <c r="U8" t="s">
        <v>19</v>
      </c>
      <c r="V8">
        <v>139</v>
      </c>
      <c r="W8" t="s">
        <v>19</v>
      </c>
      <c r="X8" t="s">
        <v>19</v>
      </c>
    </row>
    <row r="9" spans="1:36" ht="15.75" thickBot="1" x14ac:dyDescent="0.3">
      <c r="A9" s="3" t="s">
        <v>141</v>
      </c>
      <c r="B9" s="4">
        <v>741773</v>
      </c>
      <c r="C9" s="4">
        <v>402.2</v>
      </c>
      <c r="D9" s="4">
        <v>1</v>
      </c>
      <c r="E9" s="4">
        <v>1</v>
      </c>
      <c r="F9" s="3" t="s">
        <v>19</v>
      </c>
      <c r="G9" s="3" t="s">
        <v>19</v>
      </c>
      <c r="H9" s="4" t="s">
        <v>142</v>
      </c>
      <c r="I9" s="7" t="b">
        <f t="shared" si="0"/>
        <v>1</v>
      </c>
      <c r="J9" s="7"/>
      <c r="K9" s="7"/>
      <c r="L9" s="7"/>
      <c r="M9" s="7"/>
      <c r="N9" s="7"/>
      <c r="O9" s="7"/>
      <c r="S9" t="s">
        <v>142</v>
      </c>
      <c r="T9">
        <v>37</v>
      </c>
      <c r="U9" t="s">
        <v>19</v>
      </c>
      <c r="V9">
        <v>128.30000000000001</v>
      </c>
      <c r="W9" t="s">
        <v>19</v>
      </c>
      <c r="X9" t="s">
        <v>19</v>
      </c>
    </row>
    <row r="10" spans="1:36" ht="15.75" thickBot="1" x14ac:dyDescent="0.3">
      <c r="A10" s="3" t="s">
        <v>143</v>
      </c>
      <c r="B10" s="4">
        <v>741746</v>
      </c>
      <c r="C10" s="4">
        <v>501.2</v>
      </c>
      <c r="D10" s="4">
        <v>1</v>
      </c>
      <c r="E10" s="4">
        <v>1</v>
      </c>
      <c r="F10" s="3" t="s">
        <v>19</v>
      </c>
      <c r="G10" s="3" t="s">
        <v>19</v>
      </c>
      <c r="H10" s="4" t="s">
        <v>144</v>
      </c>
      <c r="I10" s="7" t="b">
        <f t="shared" si="0"/>
        <v>1</v>
      </c>
      <c r="J10" s="7"/>
      <c r="K10" s="7"/>
      <c r="L10" s="7"/>
      <c r="M10" s="7"/>
      <c r="N10" s="7"/>
      <c r="O10" s="7"/>
      <c r="S10" t="s">
        <v>144</v>
      </c>
      <c r="T10">
        <v>36</v>
      </c>
      <c r="U10">
        <v>38</v>
      </c>
      <c r="V10">
        <v>101.1</v>
      </c>
      <c r="W10">
        <v>60.7</v>
      </c>
      <c r="X10" t="s">
        <v>19</v>
      </c>
    </row>
    <row r="11" spans="1:36" ht="15.75" thickBot="1" x14ac:dyDescent="0.3">
      <c r="A11" s="3" t="s">
        <v>145</v>
      </c>
      <c r="B11" s="4">
        <v>741781</v>
      </c>
      <c r="C11" s="4">
        <v>502.1</v>
      </c>
      <c r="D11" s="4">
        <v>1</v>
      </c>
      <c r="E11" s="4">
        <v>1</v>
      </c>
      <c r="F11" s="3" t="s">
        <v>19</v>
      </c>
      <c r="G11" s="3" t="s">
        <v>19</v>
      </c>
      <c r="H11" s="4" t="s">
        <v>146</v>
      </c>
      <c r="I11" s="7" t="b">
        <f t="shared" si="0"/>
        <v>1</v>
      </c>
      <c r="J11" s="7"/>
      <c r="K11" s="7"/>
      <c r="L11" s="7"/>
      <c r="M11" s="7"/>
      <c r="N11" s="7"/>
      <c r="O11" s="7"/>
      <c r="S11" t="s">
        <v>146</v>
      </c>
      <c r="T11">
        <v>34</v>
      </c>
      <c r="U11">
        <v>35</v>
      </c>
      <c r="V11">
        <v>96.6</v>
      </c>
      <c r="W11">
        <v>53</v>
      </c>
      <c r="X11" t="s">
        <v>19</v>
      </c>
    </row>
    <row r="12" spans="1:36" ht="15.75" thickBot="1" x14ac:dyDescent="0.3">
      <c r="A12" s="3" t="s">
        <v>147</v>
      </c>
      <c r="B12" s="4">
        <v>741754</v>
      </c>
      <c r="C12" s="4">
        <v>601.1</v>
      </c>
      <c r="D12" s="4">
        <v>1</v>
      </c>
      <c r="E12" s="4">
        <v>1</v>
      </c>
      <c r="F12" s="3" t="s">
        <v>19</v>
      </c>
      <c r="G12" s="3" t="s">
        <v>19</v>
      </c>
      <c r="H12" s="4" t="s">
        <v>148</v>
      </c>
      <c r="I12" s="7" t="b">
        <f t="shared" si="0"/>
        <v>1</v>
      </c>
      <c r="J12" s="7"/>
      <c r="K12" s="7"/>
      <c r="L12" s="7"/>
      <c r="M12" s="7"/>
      <c r="N12" s="7"/>
      <c r="O12" s="7"/>
      <c r="S12" t="s">
        <v>148</v>
      </c>
      <c r="T12">
        <v>34</v>
      </c>
      <c r="U12">
        <v>35</v>
      </c>
      <c r="V12">
        <v>120.2</v>
      </c>
      <c r="W12">
        <v>55.7</v>
      </c>
      <c r="X12" t="s">
        <v>19</v>
      </c>
    </row>
    <row r="13" spans="1:36" ht="15.75" thickBot="1" x14ac:dyDescent="0.3">
      <c r="A13" s="3" t="s">
        <v>149</v>
      </c>
      <c r="B13" s="4">
        <v>741766</v>
      </c>
      <c r="C13" s="4">
        <v>602.1</v>
      </c>
      <c r="D13" s="4">
        <v>1</v>
      </c>
      <c r="E13" s="4">
        <v>1</v>
      </c>
      <c r="F13" s="3" t="s">
        <v>19</v>
      </c>
      <c r="G13" s="3" t="s">
        <v>19</v>
      </c>
      <c r="H13" s="4" t="s">
        <v>150</v>
      </c>
      <c r="I13" s="7" t="b">
        <f t="shared" si="0"/>
        <v>1</v>
      </c>
      <c r="J13" s="7"/>
      <c r="K13" s="7"/>
      <c r="L13" s="7"/>
      <c r="M13" s="7"/>
      <c r="N13" s="7"/>
      <c r="O13" s="7"/>
      <c r="S13" t="s">
        <v>150</v>
      </c>
      <c r="T13">
        <v>37</v>
      </c>
      <c r="U13">
        <v>34</v>
      </c>
      <c r="V13">
        <v>98.2</v>
      </c>
      <c r="W13">
        <v>64.400000000000006</v>
      </c>
      <c r="X13" t="s">
        <v>19</v>
      </c>
    </row>
    <row r="14" spans="1:36" ht="15.75" thickBot="1" x14ac:dyDescent="0.3">
      <c r="A14" s="3" t="s">
        <v>151</v>
      </c>
      <c r="B14" s="4">
        <v>741777</v>
      </c>
      <c r="C14" s="4">
        <v>701.3</v>
      </c>
      <c r="D14" s="4">
        <v>1</v>
      </c>
      <c r="E14" s="4">
        <v>1</v>
      </c>
      <c r="F14" s="3" t="s">
        <v>19</v>
      </c>
      <c r="G14" s="3" t="s">
        <v>19</v>
      </c>
      <c r="H14" s="4" t="s">
        <v>152</v>
      </c>
      <c r="I14" s="7" t="b">
        <f t="shared" si="0"/>
        <v>1</v>
      </c>
      <c r="J14" s="7"/>
      <c r="K14" s="7"/>
      <c r="L14" s="7"/>
      <c r="M14" s="7"/>
      <c r="N14" s="7"/>
      <c r="O14" s="7"/>
      <c r="S14" t="s">
        <v>152</v>
      </c>
      <c r="T14">
        <v>40</v>
      </c>
      <c r="U14">
        <v>34</v>
      </c>
      <c r="V14">
        <v>84.7</v>
      </c>
      <c r="W14">
        <v>75.099999999999994</v>
      </c>
      <c r="X14" t="s">
        <v>19</v>
      </c>
    </row>
    <row r="15" spans="1:36" ht="15.75" thickBot="1" x14ac:dyDescent="0.3">
      <c r="A15" s="3" t="s">
        <v>153</v>
      </c>
      <c r="B15" s="4">
        <v>741744</v>
      </c>
      <c r="C15" s="4">
        <v>702.3</v>
      </c>
      <c r="D15" s="4">
        <v>1</v>
      </c>
      <c r="E15" s="4">
        <v>1</v>
      </c>
      <c r="F15" s="3" t="s">
        <v>19</v>
      </c>
      <c r="G15" s="3" t="s">
        <v>19</v>
      </c>
      <c r="H15" s="4" t="s">
        <v>154</v>
      </c>
      <c r="I15" s="7" t="b">
        <f t="shared" si="0"/>
        <v>1</v>
      </c>
      <c r="J15" s="7"/>
      <c r="K15" s="7"/>
      <c r="L15" s="7"/>
      <c r="M15" s="7"/>
      <c r="N15" s="7"/>
      <c r="O15" s="7"/>
      <c r="S15" t="s">
        <v>154</v>
      </c>
      <c r="T15">
        <v>46</v>
      </c>
      <c r="U15" t="s">
        <v>19</v>
      </c>
      <c r="V15">
        <v>172.8</v>
      </c>
      <c r="W15" t="s">
        <v>19</v>
      </c>
      <c r="X15" t="s">
        <v>19</v>
      </c>
    </row>
    <row r="16" spans="1:36" ht="15.75" thickBot="1" x14ac:dyDescent="0.3">
      <c r="A16" s="3" t="s">
        <v>155</v>
      </c>
      <c r="B16" s="4">
        <v>741791</v>
      </c>
      <c r="C16" s="4">
        <v>801.2</v>
      </c>
      <c r="D16" s="4">
        <v>1</v>
      </c>
      <c r="E16" s="4">
        <v>1</v>
      </c>
      <c r="F16" s="3" t="s">
        <v>19</v>
      </c>
      <c r="G16" s="3" t="s">
        <v>19</v>
      </c>
      <c r="H16" s="4" t="s">
        <v>156</v>
      </c>
      <c r="I16" s="7" t="b">
        <f t="shared" si="0"/>
        <v>1</v>
      </c>
      <c r="J16" s="7"/>
      <c r="K16" s="7"/>
      <c r="L16" s="7"/>
      <c r="M16" s="7"/>
      <c r="N16" s="7"/>
      <c r="O16" s="7"/>
      <c r="S16" t="s">
        <v>156</v>
      </c>
      <c r="T16" t="s">
        <v>19</v>
      </c>
      <c r="U16">
        <v>33</v>
      </c>
      <c r="V16" t="s">
        <v>19</v>
      </c>
      <c r="W16">
        <v>108.8</v>
      </c>
      <c r="X16" t="s">
        <v>19</v>
      </c>
    </row>
    <row r="17" spans="1:30" ht="15.75" thickBot="1" x14ac:dyDescent="0.3">
      <c r="A17" s="3" t="s">
        <v>157</v>
      </c>
      <c r="B17" s="4">
        <v>741757</v>
      </c>
      <c r="C17" s="4">
        <v>802.1</v>
      </c>
      <c r="D17" s="4">
        <v>1</v>
      </c>
      <c r="E17" s="4">
        <v>1</v>
      </c>
      <c r="F17" s="3" t="s">
        <v>19</v>
      </c>
      <c r="G17" s="3" t="s">
        <v>19</v>
      </c>
      <c r="H17" s="4" t="s">
        <v>158</v>
      </c>
      <c r="I17" s="7" t="b">
        <f t="shared" si="0"/>
        <v>1</v>
      </c>
      <c r="J17" s="7"/>
      <c r="K17" s="7"/>
      <c r="L17" s="7"/>
      <c r="M17" s="7"/>
      <c r="N17" s="7"/>
      <c r="O17" s="7"/>
      <c r="S17" t="s">
        <v>158</v>
      </c>
      <c r="T17" t="s">
        <v>19</v>
      </c>
      <c r="U17">
        <v>36</v>
      </c>
      <c r="V17" t="s">
        <v>19</v>
      </c>
      <c r="W17">
        <v>127</v>
      </c>
      <c r="X17" t="s">
        <v>19</v>
      </c>
    </row>
    <row r="18" spans="1:30" ht="15.75" thickBot="1" x14ac:dyDescent="0.3">
      <c r="A18" s="3" t="s">
        <v>159</v>
      </c>
      <c r="B18" s="4">
        <v>741778</v>
      </c>
      <c r="C18" s="4">
        <v>901.1</v>
      </c>
      <c r="D18" s="4">
        <v>1</v>
      </c>
      <c r="E18" s="4">
        <v>1</v>
      </c>
      <c r="F18" s="3" t="s">
        <v>19</v>
      </c>
      <c r="G18" s="3" t="s">
        <v>19</v>
      </c>
      <c r="H18" s="4" t="s">
        <v>160</v>
      </c>
      <c r="I18" s="7" t="b">
        <f t="shared" si="0"/>
        <v>1</v>
      </c>
      <c r="J18" s="7"/>
      <c r="K18" s="7"/>
      <c r="L18" s="7"/>
      <c r="M18" s="7"/>
      <c r="N18" s="7"/>
      <c r="O18" s="7"/>
      <c r="S18" t="s">
        <v>160</v>
      </c>
      <c r="T18">
        <v>37</v>
      </c>
      <c r="U18">
        <v>36</v>
      </c>
      <c r="V18">
        <v>105.1</v>
      </c>
      <c r="W18">
        <v>67.400000000000006</v>
      </c>
      <c r="X18" t="s">
        <v>19</v>
      </c>
    </row>
    <row r="19" spans="1:30" ht="15.75" thickBot="1" x14ac:dyDescent="0.3">
      <c r="A19" s="3" t="s">
        <v>161</v>
      </c>
      <c r="B19" s="4">
        <v>741740</v>
      </c>
      <c r="C19" s="4">
        <v>902.2</v>
      </c>
      <c r="D19" s="4">
        <v>1</v>
      </c>
      <c r="E19" s="4">
        <v>1</v>
      </c>
      <c r="F19" s="3" t="s">
        <v>19</v>
      </c>
      <c r="G19" s="3" t="s">
        <v>19</v>
      </c>
      <c r="H19" s="4" t="s">
        <v>162</v>
      </c>
      <c r="I19" s="7" t="b">
        <f t="shared" si="0"/>
        <v>1</v>
      </c>
      <c r="J19" s="7"/>
      <c r="K19" s="7"/>
      <c r="L19" s="7"/>
      <c r="M19" s="7"/>
      <c r="N19" s="7"/>
      <c r="O19" s="7"/>
      <c r="S19" t="s">
        <v>162</v>
      </c>
      <c r="T19" t="s">
        <v>19</v>
      </c>
      <c r="U19">
        <v>28</v>
      </c>
      <c r="V19" t="s">
        <v>19</v>
      </c>
      <c r="W19">
        <v>115.6</v>
      </c>
      <c r="X19" t="s">
        <v>19</v>
      </c>
    </row>
    <row r="20" spans="1:30" ht="15.75" thickBot="1" x14ac:dyDescent="0.3">
      <c r="A20" s="3" t="s">
        <v>163</v>
      </c>
      <c r="B20" s="4">
        <v>741770</v>
      </c>
      <c r="C20" s="4">
        <v>1001.2</v>
      </c>
      <c r="D20" s="4">
        <v>1</v>
      </c>
      <c r="E20" s="4">
        <v>1</v>
      </c>
      <c r="F20" s="3" t="s">
        <v>19</v>
      </c>
      <c r="G20" s="3" t="s">
        <v>19</v>
      </c>
      <c r="H20" s="4" t="s">
        <v>164</v>
      </c>
      <c r="I20" s="7" t="b">
        <f t="shared" si="0"/>
        <v>1</v>
      </c>
      <c r="J20" s="7"/>
      <c r="K20" s="7"/>
      <c r="L20" s="7"/>
      <c r="M20" s="7"/>
      <c r="N20" s="7"/>
      <c r="O20" s="7"/>
      <c r="S20" t="s">
        <v>164</v>
      </c>
      <c r="T20">
        <v>42</v>
      </c>
      <c r="U20" t="s">
        <v>19</v>
      </c>
      <c r="V20">
        <v>173.8</v>
      </c>
      <c r="W20" t="s">
        <v>19</v>
      </c>
      <c r="X20" t="s">
        <v>19</v>
      </c>
    </row>
    <row r="21" spans="1:30" ht="15.75" thickBot="1" x14ac:dyDescent="0.3">
      <c r="A21" s="3" t="s">
        <v>165</v>
      </c>
      <c r="B21" s="4">
        <v>741795</v>
      </c>
      <c r="C21" s="4">
        <v>1002.3</v>
      </c>
      <c r="D21" s="4">
        <v>1</v>
      </c>
      <c r="E21" s="4">
        <v>1</v>
      </c>
      <c r="F21" s="3" t="s">
        <v>19</v>
      </c>
      <c r="G21" s="3" t="s">
        <v>19</v>
      </c>
      <c r="H21" s="4" t="s">
        <v>166</v>
      </c>
      <c r="I21" s="7" t="b">
        <f t="shared" si="0"/>
        <v>1</v>
      </c>
      <c r="J21" s="7"/>
      <c r="K21" s="7"/>
      <c r="L21" s="7"/>
      <c r="M21" s="7"/>
      <c r="N21" s="7"/>
      <c r="O21" s="7"/>
      <c r="S21" t="s">
        <v>166</v>
      </c>
      <c r="T21">
        <v>38</v>
      </c>
      <c r="U21">
        <v>39</v>
      </c>
      <c r="V21">
        <v>96</v>
      </c>
      <c r="W21">
        <v>65.099999999999994</v>
      </c>
      <c r="X21" t="s">
        <v>19</v>
      </c>
    </row>
    <row r="22" spans="1:30" ht="15.75" thickBot="1" x14ac:dyDescent="0.3">
      <c r="A22" s="3" t="s">
        <v>167</v>
      </c>
      <c r="B22" s="4">
        <v>741761</v>
      </c>
      <c r="C22" s="4">
        <v>101.2</v>
      </c>
      <c r="D22" s="4">
        <v>2</v>
      </c>
      <c r="E22" s="3" t="s">
        <v>19</v>
      </c>
      <c r="F22" s="4">
        <v>1</v>
      </c>
      <c r="G22" s="3" t="s">
        <v>19</v>
      </c>
      <c r="H22" s="4" t="s">
        <v>168</v>
      </c>
      <c r="I22" s="7" t="b">
        <f>IF(H22=Y22,TRUE,FALSE)</f>
        <v>1</v>
      </c>
      <c r="J22" s="7"/>
      <c r="K22" s="7"/>
      <c r="L22" s="7"/>
      <c r="M22" s="7"/>
      <c r="N22" s="7"/>
      <c r="O22" s="7"/>
      <c r="Y22" t="s">
        <v>168</v>
      </c>
      <c r="Z22">
        <v>68</v>
      </c>
      <c r="AA22">
        <v>50</v>
      </c>
      <c r="AB22">
        <v>184</v>
      </c>
      <c r="AC22">
        <v>76.599999999999994</v>
      </c>
      <c r="AD22" t="s">
        <v>19</v>
      </c>
    </row>
    <row r="23" spans="1:30" ht="15.75" thickBot="1" x14ac:dyDescent="0.3">
      <c r="A23" s="3" t="s">
        <v>169</v>
      </c>
      <c r="B23" s="4">
        <v>741789</v>
      </c>
      <c r="C23" s="4">
        <v>102.3</v>
      </c>
      <c r="D23" s="4">
        <v>2</v>
      </c>
      <c r="E23" s="3" t="s">
        <v>19</v>
      </c>
      <c r="F23" s="4">
        <v>1</v>
      </c>
      <c r="G23" s="3" t="s">
        <v>19</v>
      </c>
      <c r="H23" s="4" t="s">
        <v>170</v>
      </c>
      <c r="I23" s="7" t="b">
        <f t="shared" ref="I23:I41" si="1">IF(H23=Y23,TRUE,FALSE)</f>
        <v>1</v>
      </c>
      <c r="J23" s="7"/>
      <c r="K23" s="7"/>
      <c r="L23" s="7"/>
      <c r="M23" s="7"/>
      <c r="N23" s="7"/>
      <c r="O23" s="7"/>
      <c r="Y23" t="s">
        <v>170</v>
      </c>
      <c r="Z23" t="s">
        <v>19</v>
      </c>
      <c r="AA23">
        <v>60</v>
      </c>
      <c r="AB23" t="s">
        <v>19</v>
      </c>
      <c r="AC23">
        <v>234.4</v>
      </c>
      <c r="AD23" t="s">
        <v>19</v>
      </c>
    </row>
    <row r="24" spans="1:30" ht="15.75" thickBot="1" x14ac:dyDescent="0.3">
      <c r="A24" s="3" t="s">
        <v>171</v>
      </c>
      <c r="B24" s="4">
        <v>741765</v>
      </c>
      <c r="C24" s="4">
        <v>201.3</v>
      </c>
      <c r="D24" s="4">
        <v>2</v>
      </c>
      <c r="E24" s="3" t="s">
        <v>19</v>
      </c>
      <c r="F24" s="4">
        <v>1</v>
      </c>
      <c r="G24" s="3" t="s">
        <v>19</v>
      </c>
      <c r="H24" s="4" t="s">
        <v>172</v>
      </c>
      <c r="I24" s="7" t="b">
        <f t="shared" si="1"/>
        <v>1</v>
      </c>
      <c r="J24" s="7"/>
      <c r="K24" s="7"/>
      <c r="L24" s="7"/>
      <c r="M24" s="7"/>
      <c r="N24" s="7"/>
      <c r="O24" s="7"/>
      <c r="Y24" t="s">
        <v>172</v>
      </c>
      <c r="Z24">
        <v>64</v>
      </c>
      <c r="AA24">
        <v>52</v>
      </c>
      <c r="AB24">
        <v>153.9</v>
      </c>
      <c r="AC24">
        <v>52.6</v>
      </c>
      <c r="AD24" t="s">
        <v>19</v>
      </c>
    </row>
    <row r="25" spans="1:30" ht="15.75" thickBot="1" x14ac:dyDescent="0.3">
      <c r="A25" s="3" t="s">
        <v>173</v>
      </c>
      <c r="B25" s="4">
        <v>741753</v>
      </c>
      <c r="C25" s="4">
        <v>202.3</v>
      </c>
      <c r="D25" s="4">
        <v>2</v>
      </c>
      <c r="E25" s="3" t="s">
        <v>19</v>
      </c>
      <c r="F25" s="4">
        <v>1</v>
      </c>
      <c r="G25" s="3" t="s">
        <v>19</v>
      </c>
      <c r="H25" s="4" t="s">
        <v>174</v>
      </c>
      <c r="I25" s="7" t="b">
        <f t="shared" si="1"/>
        <v>1</v>
      </c>
      <c r="J25" s="7"/>
      <c r="K25" s="7"/>
      <c r="L25" s="7"/>
      <c r="M25" s="7"/>
      <c r="N25" s="7"/>
      <c r="O25" s="7"/>
      <c r="Y25" t="s">
        <v>174</v>
      </c>
      <c r="Z25" t="s">
        <v>19</v>
      </c>
      <c r="AA25">
        <v>61</v>
      </c>
      <c r="AB25" t="s">
        <v>19</v>
      </c>
      <c r="AC25">
        <v>243</v>
      </c>
      <c r="AD25" t="s">
        <v>19</v>
      </c>
    </row>
    <row r="26" spans="1:30" ht="15.75" thickBot="1" x14ac:dyDescent="0.3">
      <c r="A26" s="3" t="s">
        <v>175</v>
      </c>
      <c r="B26" s="4">
        <v>741736</v>
      </c>
      <c r="C26" s="4">
        <v>301.10000000000002</v>
      </c>
      <c r="D26" s="4">
        <v>2</v>
      </c>
      <c r="E26" s="3" t="s">
        <v>19</v>
      </c>
      <c r="F26" s="4">
        <v>1</v>
      </c>
      <c r="G26" s="3" t="s">
        <v>19</v>
      </c>
      <c r="H26" s="4" t="s">
        <v>176</v>
      </c>
      <c r="I26" s="7" t="b">
        <f t="shared" si="1"/>
        <v>1</v>
      </c>
      <c r="J26" s="7"/>
      <c r="K26" s="7"/>
      <c r="L26" s="7"/>
      <c r="M26" s="7"/>
      <c r="N26" s="7"/>
      <c r="O26" s="7"/>
      <c r="Y26" t="s">
        <v>176</v>
      </c>
      <c r="Z26">
        <v>65</v>
      </c>
      <c r="AA26">
        <v>50</v>
      </c>
      <c r="AB26">
        <v>164.4</v>
      </c>
      <c r="AC26">
        <v>66.8</v>
      </c>
      <c r="AD26" t="s">
        <v>19</v>
      </c>
    </row>
    <row r="27" spans="1:30" ht="15.75" thickBot="1" x14ac:dyDescent="0.3">
      <c r="A27" s="3" t="s">
        <v>177</v>
      </c>
      <c r="B27" s="4">
        <v>741786</v>
      </c>
      <c r="C27" s="4">
        <v>302.3</v>
      </c>
      <c r="D27" s="4">
        <v>2</v>
      </c>
      <c r="E27" s="3" t="s">
        <v>19</v>
      </c>
      <c r="F27" s="4">
        <v>1</v>
      </c>
      <c r="G27" s="3" t="s">
        <v>19</v>
      </c>
      <c r="H27" s="4" t="s">
        <v>178</v>
      </c>
      <c r="I27" s="7" t="b">
        <f t="shared" si="1"/>
        <v>1</v>
      </c>
      <c r="J27" s="7"/>
      <c r="K27" s="7"/>
      <c r="L27" s="7"/>
      <c r="M27" s="7"/>
      <c r="N27" s="7"/>
      <c r="O27" s="7"/>
      <c r="Y27" t="s">
        <v>178</v>
      </c>
      <c r="Z27">
        <v>64</v>
      </c>
      <c r="AA27" t="s">
        <v>19</v>
      </c>
      <c r="AB27">
        <v>226.5</v>
      </c>
      <c r="AC27" t="s">
        <v>19</v>
      </c>
      <c r="AD27" t="s">
        <v>19</v>
      </c>
    </row>
    <row r="28" spans="1:30" ht="15.75" thickBot="1" x14ac:dyDescent="0.3">
      <c r="A28" s="3" t="s">
        <v>179</v>
      </c>
      <c r="B28" s="4">
        <v>741748</v>
      </c>
      <c r="C28" s="4">
        <v>401.1</v>
      </c>
      <c r="D28" s="4">
        <v>2</v>
      </c>
      <c r="E28" s="3" t="s">
        <v>19</v>
      </c>
      <c r="F28" s="4">
        <v>1</v>
      </c>
      <c r="G28" s="3" t="s">
        <v>19</v>
      </c>
      <c r="H28" s="4" t="s">
        <v>180</v>
      </c>
      <c r="I28" s="7" t="b">
        <f t="shared" si="1"/>
        <v>1</v>
      </c>
      <c r="J28" s="7"/>
      <c r="K28" s="7"/>
      <c r="L28" s="7"/>
      <c r="M28" s="7"/>
      <c r="N28" s="7"/>
      <c r="O28" s="7"/>
      <c r="Y28" t="s">
        <v>180</v>
      </c>
      <c r="Z28">
        <v>67</v>
      </c>
      <c r="AA28" t="s">
        <v>19</v>
      </c>
      <c r="AB28">
        <v>281.2</v>
      </c>
      <c r="AC28" t="s">
        <v>19</v>
      </c>
      <c r="AD28" t="s">
        <v>19</v>
      </c>
    </row>
    <row r="29" spans="1:30" ht="15.75" thickBot="1" x14ac:dyDescent="0.3">
      <c r="A29" s="3" t="s">
        <v>181</v>
      </c>
      <c r="B29" s="4">
        <v>741772</v>
      </c>
      <c r="C29" s="4">
        <v>402.1</v>
      </c>
      <c r="D29" s="4">
        <v>2</v>
      </c>
      <c r="E29" s="3" t="s">
        <v>19</v>
      </c>
      <c r="F29" s="4">
        <v>1</v>
      </c>
      <c r="G29" s="3" t="s">
        <v>19</v>
      </c>
      <c r="H29" s="4" t="s">
        <v>182</v>
      </c>
      <c r="I29" s="7" t="b">
        <f t="shared" si="1"/>
        <v>1</v>
      </c>
      <c r="J29" s="7"/>
      <c r="K29" s="7"/>
      <c r="L29" s="7"/>
      <c r="M29" s="7"/>
      <c r="N29" s="7"/>
      <c r="O29" s="7"/>
      <c r="Y29" t="s">
        <v>182</v>
      </c>
      <c r="Z29">
        <v>61</v>
      </c>
      <c r="AA29" t="s">
        <v>19</v>
      </c>
      <c r="AB29">
        <v>261.5</v>
      </c>
      <c r="AC29" t="s">
        <v>19</v>
      </c>
      <c r="AD29" t="s">
        <v>19</v>
      </c>
    </row>
    <row r="30" spans="1:30" ht="15.75" thickBot="1" x14ac:dyDescent="0.3">
      <c r="A30" s="3" t="s">
        <v>183</v>
      </c>
      <c r="B30" s="4">
        <v>741747</v>
      </c>
      <c r="C30" s="4">
        <v>501.3</v>
      </c>
      <c r="D30" s="4">
        <v>2</v>
      </c>
      <c r="E30" s="3" t="s">
        <v>19</v>
      </c>
      <c r="F30" s="4">
        <v>1</v>
      </c>
      <c r="G30" s="3" t="s">
        <v>19</v>
      </c>
      <c r="H30" s="4" t="s">
        <v>184</v>
      </c>
      <c r="I30" s="7" t="b">
        <f t="shared" si="1"/>
        <v>1</v>
      </c>
      <c r="J30" s="7"/>
      <c r="K30" s="7"/>
      <c r="L30" s="7"/>
      <c r="M30" s="7"/>
      <c r="N30" s="7"/>
      <c r="O30" s="7"/>
      <c r="Y30" t="s">
        <v>184</v>
      </c>
      <c r="Z30">
        <v>63</v>
      </c>
      <c r="AA30">
        <v>51</v>
      </c>
      <c r="AB30">
        <v>158.19999999999999</v>
      </c>
      <c r="AC30">
        <v>59.1</v>
      </c>
      <c r="AD30" t="s">
        <v>19</v>
      </c>
    </row>
    <row r="31" spans="1:30" ht="15.75" thickBot="1" x14ac:dyDescent="0.3">
      <c r="A31" s="3" t="s">
        <v>185</v>
      </c>
      <c r="B31" s="4">
        <v>741782</v>
      </c>
      <c r="C31" s="4">
        <v>502.2</v>
      </c>
      <c r="D31" s="4">
        <v>2</v>
      </c>
      <c r="E31" s="3" t="s">
        <v>19</v>
      </c>
      <c r="F31" s="4">
        <v>1</v>
      </c>
      <c r="G31" s="3" t="s">
        <v>19</v>
      </c>
      <c r="H31" s="4" t="s">
        <v>186</v>
      </c>
      <c r="I31" s="7" t="b">
        <f t="shared" si="1"/>
        <v>1</v>
      </c>
      <c r="J31" s="7"/>
      <c r="K31" s="7"/>
      <c r="L31" s="7"/>
      <c r="M31" s="7"/>
      <c r="N31" s="7"/>
      <c r="O31" s="7"/>
      <c r="Y31" t="s">
        <v>186</v>
      </c>
      <c r="Z31">
        <v>61</v>
      </c>
      <c r="AA31">
        <v>50</v>
      </c>
      <c r="AB31">
        <v>152.69999999999999</v>
      </c>
      <c r="AC31">
        <v>73.400000000000006</v>
      </c>
      <c r="AD31" t="s">
        <v>19</v>
      </c>
    </row>
    <row r="32" spans="1:30" ht="15.75" thickBot="1" x14ac:dyDescent="0.3">
      <c r="A32" s="3" t="s">
        <v>187</v>
      </c>
      <c r="B32" s="4">
        <v>741755</v>
      </c>
      <c r="C32" s="4">
        <v>601.20000000000005</v>
      </c>
      <c r="D32" s="4">
        <v>2</v>
      </c>
      <c r="E32" s="3" t="s">
        <v>19</v>
      </c>
      <c r="F32" s="4">
        <v>1</v>
      </c>
      <c r="G32" s="3" t="s">
        <v>19</v>
      </c>
      <c r="H32" s="4" t="s">
        <v>188</v>
      </c>
      <c r="I32" s="7" t="b">
        <f t="shared" si="1"/>
        <v>1</v>
      </c>
      <c r="J32" s="7"/>
      <c r="K32" s="7"/>
      <c r="L32" s="7"/>
      <c r="M32" s="7"/>
      <c r="N32" s="7"/>
      <c r="O32" s="7"/>
      <c r="Y32" t="s">
        <v>188</v>
      </c>
      <c r="Z32">
        <v>65</v>
      </c>
      <c r="AA32">
        <v>50</v>
      </c>
      <c r="AB32">
        <v>184.4</v>
      </c>
      <c r="AC32">
        <v>57.9</v>
      </c>
      <c r="AD32" t="s">
        <v>19</v>
      </c>
    </row>
    <row r="33" spans="1:36" ht="15.75" thickBot="1" x14ac:dyDescent="0.3">
      <c r="A33" s="3" t="s">
        <v>189</v>
      </c>
      <c r="B33" s="4">
        <v>741767</v>
      </c>
      <c r="C33" s="4">
        <v>602.20000000000005</v>
      </c>
      <c r="D33" s="4">
        <v>2</v>
      </c>
      <c r="E33" s="3" t="s">
        <v>19</v>
      </c>
      <c r="F33" s="4">
        <v>1</v>
      </c>
      <c r="G33" s="3" t="s">
        <v>19</v>
      </c>
      <c r="H33" s="4" t="s">
        <v>190</v>
      </c>
      <c r="I33" s="7" t="b">
        <f t="shared" si="1"/>
        <v>1</v>
      </c>
      <c r="J33" s="7"/>
      <c r="K33" s="7"/>
      <c r="L33" s="7"/>
      <c r="M33" s="7"/>
      <c r="N33" s="7"/>
      <c r="O33" s="7"/>
      <c r="Y33" t="s">
        <v>190</v>
      </c>
      <c r="Z33">
        <v>67</v>
      </c>
      <c r="AA33">
        <v>50</v>
      </c>
      <c r="AB33">
        <v>195.5</v>
      </c>
      <c r="AC33">
        <v>79.5</v>
      </c>
      <c r="AD33" t="s">
        <v>19</v>
      </c>
    </row>
    <row r="34" spans="1:36" ht="15.75" thickBot="1" x14ac:dyDescent="0.3">
      <c r="A34" s="3" t="s">
        <v>191</v>
      </c>
      <c r="B34" s="4">
        <v>741775</v>
      </c>
      <c r="C34" s="4">
        <v>701.1</v>
      </c>
      <c r="D34" s="4">
        <v>2</v>
      </c>
      <c r="E34" s="3" t="s">
        <v>19</v>
      </c>
      <c r="F34" s="4">
        <v>1</v>
      </c>
      <c r="G34" s="3" t="s">
        <v>19</v>
      </c>
      <c r="H34" s="4" t="s">
        <v>192</v>
      </c>
      <c r="I34" s="7" t="b">
        <f t="shared" si="1"/>
        <v>1</v>
      </c>
      <c r="J34" s="7"/>
      <c r="K34" s="7"/>
      <c r="L34" s="7"/>
      <c r="M34" s="7"/>
      <c r="N34" s="7"/>
      <c r="O34" s="7"/>
      <c r="Y34" t="s">
        <v>192</v>
      </c>
      <c r="Z34">
        <v>66</v>
      </c>
      <c r="AA34">
        <v>45</v>
      </c>
      <c r="AB34">
        <v>255.5</v>
      </c>
      <c r="AC34">
        <v>33</v>
      </c>
      <c r="AD34" t="s">
        <v>19</v>
      </c>
    </row>
    <row r="35" spans="1:36" ht="15.75" thickBot="1" x14ac:dyDescent="0.3">
      <c r="A35" s="3" t="s">
        <v>193</v>
      </c>
      <c r="B35" s="4">
        <v>741743</v>
      </c>
      <c r="C35" s="4">
        <v>702.2</v>
      </c>
      <c r="D35" s="4">
        <v>2</v>
      </c>
      <c r="E35" s="3" t="s">
        <v>19</v>
      </c>
      <c r="F35" s="4">
        <v>1</v>
      </c>
      <c r="G35" s="3" t="s">
        <v>19</v>
      </c>
      <c r="H35" s="4" t="s">
        <v>194</v>
      </c>
      <c r="I35" s="7" t="b">
        <f t="shared" si="1"/>
        <v>1</v>
      </c>
      <c r="J35" s="7"/>
      <c r="K35" s="7"/>
      <c r="L35" s="7"/>
      <c r="M35" s="7"/>
      <c r="N35" s="7"/>
      <c r="O35" s="7"/>
      <c r="Y35" t="s">
        <v>194</v>
      </c>
      <c r="Z35">
        <v>72</v>
      </c>
      <c r="AA35" t="s">
        <v>19</v>
      </c>
      <c r="AB35">
        <v>304.8</v>
      </c>
      <c r="AC35" t="s">
        <v>19</v>
      </c>
      <c r="AD35" t="s">
        <v>19</v>
      </c>
    </row>
    <row r="36" spans="1:36" ht="15.75" thickBot="1" x14ac:dyDescent="0.3">
      <c r="A36" s="3" t="s">
        <v>195</v>
      </c>
      <c r="B36" s="4">
        <v>741790</v>
      </c>
      <c r="C36" s="4">
        <v>801.1</v>
      </c>
      <c r="D36" s="4">
        <v>2</v>
      </c>
      <c r="E36" s="3" t="s">
        <v>19</v>
      </c>
      <c r="F36" s="4">
        <v>1</v>
      </c>
      <c r="G36" s="3" t="s">
        <v>19</v>
      </c>
      <c r="H36" s="4" t="s">
        <v>196</v>
      </c>
      <c r="I36" s="7" t="b">
        <f t="shared" si="1"/>
        <v>1</v>
      </c>
      <c r="J36" s="7"/>
      <c r="K36" s="7"/>
      <c r="L36" s="7"/>
      <c r="M36" s="7"/>
      <c r="N36" s="7"/>
      <c r="O36" s="7"/>
      <c r="Y36" t="s">
        <v>196</v>
      </c>
      <c r="Z36" t="s">
        <v>19</v>
      </c>
      <c r="AA36">
        <v>62</v>
      </c>
      <c r="AB36" t="s">
        <v>19</v>
      </c>
      <c r="AC36">
        <v>238.8</v>
      </c>
      <c r="AD36" t="s">
        <v>19</v>
      </c>
    </row>
    <row r="37" spans="1:36" ht="15.75" thickBot="1" x14ac:dyDescent="0.3">
      <c r="A37" s="3" t="s">
        <v>197</v>
      </c>
      <c r="B37" s="4">
        <v>741758</v>
      </c>
      <c r="C37" s="4">
        <v>802.2</v>
      </c>
      <c r="D37" s="4">
        <v>2</v>
      </c>
      <c r="E37" s="3" t="s">
        <v>19</v>
      </c>
      <c r="F37" s="4">
        <v>1</v>
      </c>
      <c r="G37" s="3" t="s">
        <v>19</v>
      </c>
      <c r="H37" s="4" t="s">
        <v>198</v>
      </c>
      <c r="I37" s="7" t="b">
        <f t="shared" si="1"/>
        <v>1</v>
      </c>
      <c r="J37" s="7"/>
      <c r="K37" s="7"/>
      <c r="L37" s="7"/>
      <c r="M37" s="7"/>
      <c r="N37" s="7"/>
      <c r="O37" s="7"/>
      <c r="Y37" t="s">
        <v>198</v>
      </c>
      <c r="Z37" t="s">
        <v>19</v>
      </c>
      <c r="AA37">
        <v>59</v>
      </c>
      <c r="AB37" t="s">
        <v>19</v>
      </c>
      <c r="AC37">
        <v>205.2</v>
      </c>
      <c r="AD37" t="s">
        <v>19</v>
      </c>
    </row>
    <row r="38" spans="1:36" ht="15.75" thickBot="1" x14ac:dyDescent="0.3">
      <c r="A38" s="3" t="s">
        <v>199</v>
      </c>
      <c r="B38" s="4">
        <v>741779</v>
      </c>
      <c r="C38" s="4">
        <v>901.2</v>
      </c>
      <c r="D38" s="4">
        <v>2</v>
      </c>
      <c r="E38" s="3" t="s">
        <v>19</v>
      </c>
      <c r="F38" s="4">
        <v>1</v>
      </c>
      <c r="G38" s="3" t="s">
        <v>19</v>
      </c>
      <c r="H38" s="4" t="s">
        <v>200</v>
      </c>
      <c r="I38" s="7" t="b">
        <f t="shared" si="1"/>
        <v>1</v>
      </c>
      <c r="J38" s="7"/>
      <c r="K38" s="7"/>
      <c r="L38" s="7"/>
      <c r="M38" s="7"/>
      <c r="N38" s="7"/>
      <c r="O38" s="7"/>
      <c r="Y38" t="s">
        <v>200</v>
      </c>
      <c r="Z38">
        <v>71</v>
      </c>
      <c r="AA38">
        <v>50</v>
      </c>
      <c r="AB38">
        <v>212.2</v>
      </c>
      <c r="AC38">
        <v>56.5</v>
      </c>
      <c r="AD38" t="s">
        <v>19</v>
      </c>
    </row>
    <row r="39" spans="1:36" ht="15.75" thickBot="1" x14ac:dyDescent="0.3">
      <c r="A39" s="3" t="s">
        <v>201</v>
      </c>
      <c r="B39" s="4">
        <v>741741</v>
      </c>
      <c r="C39" s="4">
        <v>902.3</v>
      </c>
      <c r="D39" s="4">
        <v>2</v>
      </c>
      <c r="E39" s="3" t="s">
        <v>19</v>
      </c>
      <c r="F39" s="4">
        <v>1</v>
      </c>
      <c r="G39" s="3" t="s">
        <v>19</v>
      </c>
      <c r="H39" s="4" t="s">
        <v>202</v>
      </c>
      <c r="I39" s="7" t="b">
        <f t="shared" si="1"/>
        <v>1</v>
      </c>
      <c r="J39" s="7"/>
      <c r="K39" s="7"/>
      <c r="L39" s="7"/>
      <c r="M39" s="7"/>
      <c r="N39" s="7"/>
      <c r="O39" s="7"/>
      <c r="Y39" t="s">
        <v>202</v>
      </c>
      <c r="Z39" t="s">
        <v>19</v>
      </c>
      <c r="AA39">
        <v>59</v>
      </c>
      <c r="AB39" t="s">
        <v>19</v>
      </c>
      <c r="AC39">
        <v>232.8</v>
      </c>
      <c r="AD39" t="s">
        <v>19</v>
      </c>
    </row>
    <row r="40" spans="1:36" ht="15.75" thickBot="1" x14ac:dyDescent="0.3">
      <c r="A40" s="3" t="s">
        <v>203</v>
      </c>
      <c r="B40" s="4">
        <v>741769</v>
      </c>
      <c r="C40" s="4">
        <v>1001.1</v>
      </c>
      <c r="D40" s="4">
        <v>2</v>
      </c>
      <c r="E40" s="3" t="s">
        <v>19</v>
      </c>
      <c r="F40" s="4">
        <v>1</v>
      </c>
      <c r="G40" s="3" t="s">
        <v>19</v>
      </c>
      <c r="H40" s="4" t="s">
        <v>204</v>
      </c>
      <c r="I40" s="7" t="b">
        <f t="shared" si="1"/>
        <v>1</v>
      </c>
      <c r="J40" s="7"/>
      <c r="K40" s="7"/>
      <c r="L40" s="7"/>
      <c r="M40" s="7"/>
      <c r="N40" s="7"/>
      <c r="O40" s="7"/>
      <c r="Y40" t="s">
        <v>204</v>
      </c>
      <c r="Z40">
        <v>73</v>
      </c>
      <c r="AA40" t="s">
        <v>19</v>
      </c>
      <c r="AB40">
        <v>345.4</v>
      </c>
      <c r="AC40" t="s">
        <v>19</v>
      </c>
      <c r="AD40" t="s">
        <v>19</v>
      </c>
    </row>
    <row r="41" spans="1:36" ht="15.75" thickBot="1" x14ac:dyDescent="0.3">
      <c r="A41" s="3" t="s">
        <v>205</v>
      </c>
      <c r="B41" s="4">
        <v>741793</v>
      </c>
      <c r="C41" s="4">
        <v>1002.1</v>
      </c>
      <c r="D41" s="4">
        <v>2</v>
      </c>
      <c r="E41" s="3" t="s">
        <v>19</v>
      </c>
      <c r="F41" s="4">
        <v>1</v>
      </c>
      <c r="G41" s="3" t="s">
        <v>19</v>
      </c>
      <c r="H41" s="4" t="s">
        <v>206</v>
      </c>
      <c r="I41" s="7" t="b">
        <f t="shared" si="1"/>
        <v>1</v>
      </c>
      <c r="J41" s="7"/>
      <c r="K41" s="7"/>
      <c r="L41" s="7"/>
      <c r="M41" s="7"/>
      <c r="N41" s="7"/>
      <c r="O41" s="7"/>
      <c r="Y41" t="s">
        <v>206</v>
      </c>
      <c r="Z41">
        <v>71</v>
      </c>
      <c r="AA41">
        <v>51</v>
      </c>
      <c r="AB41">
        <v>238.7</v>
      </c>
      <c r="AC41">
        <v>86.7</v>
      </c>
      <c r="AD41" t="s">
        <v>19</v>
      </c>
    </row>
    <row r="42" spans="1:36" ht="15.75" thickBot="1" x14ac:dyDescent="0.3">
      <c r="A42" s="3" t="s">
        <v>207</v>
      </c>
      <c r="B42" s="4">
        <v>741762</v>
      </c>
      <c r="C42" s="4">
        <v>101.3</v>
      </c>
      <c r="D42" s="4">
        <v>3</v>
      </c>
      <c r="E42" s="3" t="s">
        <v>19</v>
      </c>
      <c r="F42" s="3" t="s">
        <v>19</v>
      </c>
      <c r="G42" s="4">
        <v>1</v>
      </c>
      <c r="H42" s="4" t="s">
        <v>208</v>
      </c>
      <c r="I42" s="7" t="b">
        <f>IF(H42=AE42,TRUE,FALSE)</f>
        <v>1</v>
      </c>
      <c r="J42" s="7"/>
      <c r="K42" s="7"/>
      <c r="L42" s="7"/>
      <c r="M42" s="7"/>
      <c r="N42" s="7"/>
      <c r="O42" s="7"/>
      <c r="AE42" t="s">
        <v>208</v>
      </c>
      <c r="AF42">
        <v>98</v>
      </c>
      <c r="AG42">
        <v>60</v>
      </c>
      <c r="AH42">
        <v>411.3</v>
      </c>
      <c r="AI42">
        <v>141</v>
      </c>
      <c r="AJ42" t="s">
        <v>19</v>
      </c>
    </row>
    <row r="43" spans="1:36" ht="15.75" thickBot="1" x14ac:dyDescent="0.3">
      <c r="A43" s="3" t="s">
        <v>209</v>
      </c>
      <c r="B43" s="4">
        <v>741788</v>
      </c>
      <c r="C43" s="4">
        <v>102.2</v>
      </c>
      <c r="D43" s="4">
        <v>3</v>
      </c>
      <c r="E43" s="3" t="s">
        <v>19</v>
      </c>
      <c r="F43" s="3" t="s">
        <v>19</v>
      </c>
      <c r="G43" s="4">
        <v>1</v>
      </c>
      <c r="H43" s="4" t="s">
        <v>210</v>
      </c>
      <c r="I43" s="7" t="b">
        <f t="shared" ref="I43:I61" si="2">IF(H43=AE43,TRUE,FALSE)</f>
        <v>1</v>
      </c>
      <c r="J43" s="7"/>
      <c r="K43" s="7"/>
      <c r="L43" s="7"/>
      <c r="M43" s="7"/>
      <c r="N43" s="7"/>
      <c r="O43" s="7"/>
      <c r="AE43" t="s">
        <v>210</v>
      </c>
      <c r="AF43" t="s">
        <v>19</v>
      </c>
      <c r="AG43">
        <v>92</v>
      </c>
      <c r="AH43" t="s">
        <v>19</v>
      </c>
      <c r="AI43">
        <v>465.5</v>
      </c>
      <c r="AJ43" t="s">
        <v>19</v>
      </c>
    </row>
    <row r="44" spans="1:36" ht="15.75" thickBot="1" x14ac:dyDescent="0.3">
      <c r="A44" s="3" t="s">
        <v>211</v>
      </c>
      <c r="B44" s="4">
        <v>741763</v>
      </c>
      <c r="C44" s="4">
        <v>201.1</v>
      </c>
      <c r="D44" s="4">
        <v>3</v>
      </c>
      <c r="E44" s="3" t="s">
        <v>19</v>
      </c>
      <c r="F44" s="3" t="s">
        <v>19</v>
      </c>
      <c r="G44" s="4">
        <v>1</v>
      </c>
      <c r="H44" s="4" t="s">
        <v>212</v>
      </c>
      <c r="I44" s="7" t="b">
        <f t="shared" si="2"/>
        <v>1</v>
      </c>
      <c r="J44" s="7"/>
      <c r="K44" s="7"/>
      <c r="L44" s="7"/>
      <c r="M44" s="7"/>
      <c r="N44" s="7"/>
      <c r="O44" s="7"/>
      <c r="AE44" t="s">
        <v>212</v>
      </c>
      <c r="AF44">
        <v>96</v>
      </c>
      <c r="AG44">
        <v>60</v>
      </c>
      <c r="AH44">
        <v>382.8</v>
      </c>
      <c r="AI44">
        <v>172.5</v>
      </c>
      <c r="AJ44" t="s">
        <v>19</v>
      </c>
    </row>
    <row r="45" spans="1:36" ht="15.75" thickBot="1" x14ac:dyDescent="0.3">
      <c r="A45" s="3" t="s">
        <v>213</v>
      </c>
      <c r="B45" s="4">
        <v>741752</v>
      </c>
      <c r="C45" s="4">
        <v>202.2</v>
      </c>
      <c r="D45" s="4">
        <v>3</v>
      </c>
      <c r="E45" s="3" t="s">
        <v>19</v>
      </c>
      <c r="F45" s="3" t="s">
        <v>19</v>
      </c>
      <c r="G45" s="4">
        <v>1</v>
      </c>
      <c r="H45" s="4" t="s">
        <v>214</v>
      </c>
      <c r="I45" s="7" t="b">
        <f t="shared" si="2"/>
        <v>1</v>
      </c>
      <c r="J45" s="7"/>
      <c r="K45" s="7"/>
      <c r="L45" s="7"/>
      <c r="M45" s="7"/>
      <c r="N45" s="7"/>
      <c r="O45" s="7"/>
      <c r="AE45" t="s">
        <v>214</v>
      </c>
      <c r="AF45" t="s">
        <v>19</v>
      </c>
      <c r="AG45">
        <v>62</v>
      </c>
      <c r="AH45" t="s">
        <v>19</v>
      </c>
      <c r="AI45">
        <v>418.8</v>
      </c>
      <c r="AJ45" t="s">
        <v>19</v>
      </c>
    </row>
    <row r="46" spans="1:36" ht="15.75" thickBot="1" x14ac:dyDescent="0.3">
      <c r="A46" s="3" t="s">
        <v>215</v>
      </c>
      <c r="B46" s="4">
        <v>741738</v>
      </c>
      <c r="C46" s="4">
        <v>301.3</v>
      </c>
      <c r="D46" s="4">
        <v>3</v>
      </c>
      <c r="E46" s="3" t="s">
        <v>19</v>
      </c>
      <c r="F46" s="3" t="s">
        <v>19</v>
      </c>
      <c r="G46" s="4">
        <v>1</v>
      </c>
      <c r="H46" s="4" t="s">
        <v>216</v>
      </c>
      <c r="I46" s="7" t="b">
        <f t="shared" si="2"/>
        <v>1</v>
      </c>
      <c r="J46" s="7"/>
      <c r="K46" s="7"/>
      <c r="L46" s="7"/>
      <c r="M46" s="7"/>
      <c r="N46" s="7"/>
      <c r="O46" s="7"/>
      <c r="AE46" t="s">
        <v>216</v>
      </c>
      <c r="AF46">
        <v>97</v>
      </c>
      <c r="AG46">
        <v>77</v>
      </c>
      <c r="AH46">
        <v>351.2</v>
      </c>
      <c r="AI46">
        <v>161.1</v>
      </c>
      <c r="AJ46" t="s">
        <v>19</v>
      </c>
    </row>
    <row r="47" spans="1:36" ht="15.75" thickBot="1" x14ac:dyDescent="0.3">
      <c r="A47" s="3" t="s">
        <v>217</v>
      </c>
      <c r="B47" s="4">
        <v>741784</v>
      </c>
      <c r="C47" s="4">
        <v>302.10000000000002</v>
      </c>
      <c r="D47" s="4">
        <v>3</v>
      </c>
      <c r="E47" s="3" t="s">
        <v>19</v>
      </c>
      <c r="F47" s="3" t="s">
        <v>19</v>
      </c>
      <c r="G47" s="4">
        <v>1</v>
      </c>
      <c r="H47" s="4" t="s">
        <v>218</v>
      </c>
      <c r="I47" s="7" t="b">
        <f t="shared" si="2"/>
        <v>1</v>
      </c>
      <c r="J47" s="7"/>
      <c r="K47" s="7"/>
      <c r="L47" s="7"/>
      <c r="M47" s="7"/>
      <c r="N47" s="7"/>
      <c r="O47" s="7"/>
      <c r="AE47" t="s">
        <v>218</v>
      </c>
      <c r="AF47">
        <v>96</v>
      </c>
      <c r="AG47" t="s">
        <v>19</v>
      </c>
      <c r="AH47">
        <v>630.9</v>
      </c>
      <c r="AI47" t="s">
        <v>19</v>
      </c>
      <c r="AJ47" t="s">
        <v>19</v>
      </c>
    </row>
    <row r="48" spans="1:36" ht="15.75" thickBot="1" x14ac:dyDescent="0.3">
      <c r="A48" s="3" t="s">
        <v>219</v>
      </c>
      <c r="B48" s="4">
        <v>741750</v>
      </c>
      <c r="C48" s="4">
        <v>401.3</v>
      </c>
      <c r="D48" s="4">
        <v>3</v>
      </c>
      <c r="E48" s="3" t="s">
        <v>19</v>
      </c>
      <c r="F48" s="3" t="s">
        <v>19</v>
      </c>
      <c r="G48" s="4">
        <v>1</v>
      </c>
      <c r="H48" s="4" t="s">
        <v>220</v>
      </c>
      <c r="I48" s="7" t="b">
        <f t="shared" si="2"/>
        <v>1</v>
      </c>
      <c r="J48" s="7"/>
      <c r="K48" s="7"/>
      <c r="L48" s="7"/>
      <c r="M48" s="7"/>
      <c r="N48" s="7"/>
      <c r="O48" s="7"/>
      <c r="AE48" t="s">
        <v>220</v>
      </c>
      <c r="AF48">
        <v>102</v>
      </c>
      <c r="AG48" t="s">
        <v>19</v>
      </c>
      <c r="AH48">
        <v>557.4</v>
      </c>
      <c r="AI48" t="s">
        <v>19</v>
      </c>
      <c r="AJ48" t="s">
        <v>19</v>
      </c>
    </row>
    <row r="49" spans="1:36" ht="15.75" thickBot="1" x14ac:dyDescent="0.3">
      <c r="A49" s="3" t="s">
        <v>221</v>
      </c>
      <c r="B49" s="4">
        <v>741774</v>
      </c>
      <c r="C49" s="4">
        <v>402.3</v>
      </c>
      <c r="D49" s="4">
        <v>3</v>
      </c>
      <c r="E49" s="3" t="s">
        <v>19</v>
      </c>
      <c r="F49" s="3" t="s">
        <v>19</v>
      </c>
      <c r="G49" s="4">
        <v>1</v>
      </c>
      <c r="H49" s="4" t="s">
        <v>222</v>
      </c>
      <c r="I49" s="7" t="b">
        <f t="shared" si="2"/>
        <v>1</v>
      </c>
      <c r="J49" s="7"/>
      <c r="K49" s="7"/>
      <c r="L49" s="7"/>
      <c r="M49" s="7"/>
      <c r="N49" s="7"/>
      <c r="O49" s="7"/>
      <c r="AE49" t="s">
        <v>222</v>
      </c>
      <c r="AF49">
        <v>99</v>
      </c>
      <c r="AG49" t="s">
        <v>19</v>
      </c>
      <c r="AH49">
        <v>530</v>
      </c>
      <c r="AI49" t="s">
        <v>19</v>
      </c>
      <c r="AJ49" t="s">
        <v>19</v>
      </c>
    </row>
    <row r="50" spans="1:36" ht="15.75" thickBot="1" x14ac:dyDescent="0.3">
      <c r="A50" s="3" t="s">
        <v>223</v>
      </c>
      <c r="B50" s="4">
        <v>741745</v>
      </c>
      <c r="C50" s="4">
        <v>501.1</v>
      </c>
      <c r="D50" s="4">
        <v>3</v>
      </c>
      <c r="E50" s="3" t="s">
        <v>19</v>
      </c>
      <c r="F50" s="3" t="s">
        <v>19</v>
      </c>
      <c r="G50" s="4">
        <v>1</v>
      </c>
      <c r="H50" s="4" t="s">
        <v>224</v>
      </c>
      <c r="I50" s="7" t="b">
        <f t="shared" si="2"/>
        <v>1</v>
      </c>
      <c r="J50" s="7"/>
      <c r="K50" s="7"/>
      <c r="L50" s="7"/>
      <c r="M50" s="7"/>
      <c r="N50" s="7"/>
      <c r="O50" s="7"/>
      <c r="AE50" t="s">
        <v>224</v>
      </c>
      <c r="AF50">
        <v>97</v>
      </c>
      <c r="AG50">
        <v>60</v>
      </c>
      <c r="AH50">
        <v>483.2</v>
      </c>
      <c r="AI50">
        <v>156.1</v>
      </c>
      <c r="AJ50" t="s">
        <v>19</v>
      </c>
    </row>
    <row r="51" spans="1:36" ht="15.75" thickBot="1" x14ac:dyDescent="0.3">
      <c r="A51" s="3" t="s">
        <v>225</v>
      </c>
      <c r="B51" s="4">
        <v>741783</v>
      </c>
      <c r="C51" s="4">
        <v>502.3</v>
      </c>
      <c r="D51" s="4">
        <v>3</v>
      </c>
      <c r="E51" s="3" t="s">
        <v>19</v>
      </c>
      <c r="F51" s="3" t="s">
        <v>19</v>
      </c>
      <c r="G51" s="4">
        <v>1</v>
      </c>
      <c r="H51" s="4" t="s">
        <v>226</v>
      </c>
      <c r="I51" s="7" t="b">
        <f t="shared" si="2"/>
        <v>1</v>
      </c>
      <c r="J51" s="7"/>
      <c r="K51" s="7"/>
      <c r="L51" s="7"/>
      <c r="M51" s="7"/>
      <c r="N51" s="7"/>
      <c r="O51" s="7"/>
      <c r="AE51" t="s">
        <v>226</v>
      </c>
      <c r="AF51">
        <v>96</v>
      </c>
      <c r="AG51">
        <v>60</v>
      </c>
      <c r="AH51">
        <v>279.8</v>
      </c>
      <c r="AI51">
        <v>218.6</v>
      </c>
      <c r="AJ51" t="s">
        <v>19</v>
      </c>
    </row>
    <row r="52" spans="1:36" ht="15.75" thickBot="1" x14ac:dyDescent="0.3">
      <c r="A52" s="3" t="s">
        <v>227</v>
      </c>
      <c r="B52" s="4">
        <v>741756</v>
      </c>
      <c r="C52" s="4">
        <v>601.29999999999995</v>
      </c>
      <c r="D52" s="4">
        <v>3</v>
      </c>
      <c r="E52" s="3" t="s">
        <v>19</v>
      </c>
      <c r="F52" s="3" t="s">
        <v>19</v>
      </c>
      <c r="G52" s="4">
        <v>1</v>
      </c>
      <c r="H52" s="4" t="s">
        <v>228</v>
      </c>
      <c r="I52" s="7" t="b">
        <f t="shared" si="2"/>
        <v>1</v>
      </c>
      <c r="J52" s="7"/>
      <c r="K52" s="7"/>
      <c r="L52" s="7"/>
      <c r="M52" s="7"/>
      <c r="N52" s="7"/>
      <c r="O52" s="7"/>
      <c r="AE52" t="s">
        <v>228</v>
      </c>
      <c r="AF52">
        <v>103</v>
      </c>
      <c r="AG52">
        <v>50</v>
      </c>
      <c r="AH52">
        <v>385.9</v>
      </c>
      <c r="AI52">
        <v>129.5</v>
      </c>
      <c r="AJ52" t="s">
        <v>19</v>
      </c>
    </row>
    <row r="53" spans="1:36" ht="15.75" thickBot="1" x14ac:dyDescent="0.3">
      <c r="A53" s="3" t="s">
        <v>229</v>
      </c>
      <c r="B53" s="4">
        <v>741768</v>
      </c>
      <c r="C53" s="4">
        <v>602.29999999999995</v>
      </c>
      <c r="D53" s="4">
        <v>3</v>
      </c>
      <c r="E53" s="3" t="s">
        <v>19</v>
      </c>
      <c r="F53" s="3" t="s">
        <v>19</v>
      </c>
      <c r="G53" s="4">
        <v>1</v>
      </c>
      <c r="H53" s="4" t="s">
        <v>230</v>
      </c>
      <c r="I53" s="7" t="b">
        <f t="shared" si="2"/>
        <v>1</v>
      </c>
      <c r="J53" s="7"/>
      <c r="K53" s="7"/>
      <c r="L53" s="7"/>
      <c r="M53" s="7"/>
      <c r="N53" s="7"/>
      <c r="O53" s="7"/>
      <c r="AE53" t="s">
        <v>230</v>
      </c>
      <c r="AF53">
        <v>94</v>
      </c>
      <c r="AG53">
        <v>63</v>
      </c>
      <c r="AH53">
        <v>307.5</v>
      </c>
      <c r="AI53">
        <v>206.9</v>
      </c>
      <c r="AJ53" t="s">
        <v>19</v>
      </c>
    </row>
    <row r="54" spans="1:36" ht="15.75" thickBot="1" x14ac:dyDescent="0.3">
      <c r="A54" s="3" t="s">
        <v>231</v>
      </c>
      <c r="B54" s="4">
        <v>741776</v>
      </c>
      <c r="C54" s="4">
        <v>701.2</v>
      </c>
      <c r="D54" s="4">
        <v>3</v>
      </c>
      <c r="E54" s="3" t="s">
        <v>19</v>
      </c>
      <c r="F54" s="3" t="s">
        <v>19</v>
      </c>
      <c r="G54" s="4">
        <v>1</v>
      </c>
      <c r="H54" s="4" t="s">
        <v>232</v>
      </c>
      <c r="I54" s="7" t="b">
        <f t="shared" si="2"/>
        <v>1</v>
      </c>
      <c r="J54" s="7"/>
      <c r="K54" s="7"/>
      <c r="L54" s="7"/>
      <c r="M54" s="7"/>
      <c r="N54" s="7"/>
      <c r="O54" s="7"/>
      <c r="AE54" t="s">
        <v>232</v>
      </c>
      <c r="AF54">
        <v>105</v>
      </c>
      <c r="AG54">
        <v>60</v>
      </c>
      <c r="AH54">
        <v>485.3</v>
      </c>
      <c r="AI54">
        <v>110.9</v>
      </c>
      <c r="AJ54" t="s">
        <v>19</v>
      </c>
    </row>
    <row r="55" spans="1:36" ht="15.75" thickBot="1" x14ac:dyDescent="0.3">
      <c r="A55" s="3" t="s">
        <v>233</v>
      </c>
      <c r="B55" s="4">
        <v>741742</v>
      </c>
      <c r="C55" s="4">
        <v>702.1</v>
      </c>
      <c r="D55" s="4">
        <v>3</v>
      </c>
      <c r="E55" s="3" t="s">
        <v>19</v>
      </c>
      <c r="F55" s="3" t="s">
        <v>19</v>
      </c>
      <c r="G55" s="4">
        <v>1</v>
      </c>
      <c r="H55" s="4" t="s">
        <v>234</v>
      </c>
      <c r="I55" s="7" t="b">
        <f t="shared" si="2"/>
        <v>1</v>
      </c>
      <c r="J55" s="7"/>
      <c r="K55" s="7"/>
      <c r="L55" s="7"/>
      <c r="M55" s="7"/>
      <c r="N55" s="7"/>
      <c r="O55" s="7"/>
      <c r="AE55" t="s">
        <v>234</v>
      </c>
      <c r="AF55">
        <v>108</v>
      </c>
      <c r="AG55" t="s">
        <v>19</v>
      </c>
      <c r="AH55">
        <v>561.70000000000005</v>
      </c>
      <c r="AI55" t="s">
        <v>19</v>
      </c>
      <c r="AJ55" t="s">
        <v>19</v>
      </c>
    </row>
    <row r="56" spans="1:36" ht="15.75" thickBot="1" x14ac:dyDescent="0.3">
      <c r="A56" s="3" t="s">
        <v>235</v>
      </c>
      <c r="B56" s="4">
        <v>741792</v>
      </c>
      <c r="C56" s="4">
        <v>801.3</v>
      </c>
      <c r="D56" s="4">
        <v>3</v>
      </c>
      <c r="E56" s="3" t="s">
        <v>19</v>
      </c>
      <c r="F56" s="3" t="s">
        <v>19</v>
      </c>
      <c r="G56" s="4">
        <v>1</v>
      </c>
      <c r="H56" s="4" t="s">
        <v>236</v>
      </c>
      <c r="I56" s="7" t="b">
        <f t="shared" si="2"/>
        <v>1</v>
      </c>
      <c r="J56" s="7"/>
      <c r="K56" s="7"/>
      <c r="L56" s="7"/>
      <c r="M56" s="7"/>
      <c r="N56" s="7"/>
      <c r="O56" s="7"/>
      <c r="AE56" t="s">
        <v>236</v>
      </c>
      <c r="AF56" t="s">
        <v>19</v>
      </c>
      <c r="AG56">
        <v>80</v>
      </c>
      <c r="AH56" t="s">
        <v>19</v>
      </c>
      <c r="AI56">
        <v>783.7</v>
      </c>
      <c r="AJ56" t="s">
        <v>19</v>
      </c>
    </row>
    <row r="57" spans="1:36" ht="15.75" thickBot="1" x14ac:dyDescent="0.3">
      <c r="A57" s="3" t="s">
        <v>237</v>
      </c>
      <c r="B57" s="4">
        <v>741759</v>
      </c>
      <c r="C57" s="4">
        <v>802.3</v>
      </c>
      <c r="D57" s="4">
        <v>3</v>
      </c>
      <c r="E57" s="3" t="s">
        <v>19</v>
      </c>
      <c r="F57" s="3" t="s">
        <v>19</v>
      </c>
      <c r="G57" s="4">
        <v>1</v>
      </c>
      <c r="H57" s="4" t="s">
        <v>238</v>
      </c>
      <c r="I57" s="7" t="b">
        <f t="shared" si="2"/>
        <v>1</v>
      </c>
      <c r="J57" s="7"/>
      <c r="K57" s="7"/>
      <c r="L57" s="7"/>
      <c r="M57" s="7"/>
      <c r="N57" s="7"/>
      <c r="O57" s="7"/>
      <c r="AE57" t="s">
        <v>238</v>
      </c>
      <c r="AF57" t="s">
        <v>19</v>
      </c>
      <c r="AG57">
        <v>75</v>
      </c>
      <c r="AH57" t="s">
        <v>19</v>
      </c>
      <c r="AI57">
        <v>700.6</v>
      </c>
      <c r="AJ57" t="s">
        <v>19</v>
      </c>
    </row>
    <row r="58" spans="1:36" ht="15.75" thickBot="1" x14ac:dyDescent="0.3">
      <c r="A58" s="3" t="s">
        <v>239</v>
      </c>
      <c r="B58" s="4">
        <v>741780</v>
      </c>
      <c r="C58" s="4">
        <v>901.3</v>
      </c>
      <c r="D58" s="4">
        <v>3</v>
      </c>
      <c r="E58" s="3" t="s">
        <v>19</v>
      </c>
      <c r="F58" s="3" t="s">
        <v>19</v>
      </c>
      <c r="G58" s="4">
        <v>1</v>
      </c>
      <c r="H58" s="4" t="s">
        <v>240</v>
      </c>
      <c r="I58" s="7" t="b">
        <f t="shared" si="2"/>
        <v>1</v>
      </c>
      <c r="J58" s="7"/>
      <c r="K58" s="7"/>
      <c r="L58" s="7"/>
      <c r="M58" s="7"/>
      <c r="N58" s="7"/>
      <c r="O58" s="7"/>
      <c r="AE58" t="s">
        <v>240</v>
      </c>
      <c r="AF58">
        <v>110</v>
      </c>
      <c r="AG58">
        <v>60</v>
      </c>
      <c r="AH58">
        <v>476.7</v>
      </c>
      <c r="AI58">
        <v>149.5</v>
      </c>
      <c r="AJ58" t="s">
        <v>19</v>
      </c>
    </row>
    <row r="59" spans="1:36" ht="15.75" thickBot="1" x14ac:dyDescent="0.3">
      <c r="A59" s="3" t="s">
        <v>241</v>
      </c>
      <c r="B59" s="4">
        <v>741739</v>
      </c>
      <c r="C59" s="4">
        <v>902.1</v>
      </c>
      <c r="D59" s="4">
        <v>3</v>
      </c>
      <c r="E59" s="3" t="s">
        <v>19</v>
      </c>
      <c r="F59" s="3" t="s">
        <v>19</v>
      </c>
      <c r="G59" s="4">
        <v>1</v>
      </c>
      <c r="H59" s="4" t="s">
        <v>242</v>
      </c>
      <c r="I59" s="7" t="b">
        <f t="shared" si="2"/>
        <v>1</v>
      </c>
      <c r="J59" s="7"/>
      <c r="K59" s="7"/>
      <c r="L59" s="7"/>
      <c r="M59" s="7"/>
      <c r="N59" s="7"/>
      <c r="O59" s="7"/>
      <c r="AE59" t="s">
        <v>242</v>
      </c>
      <c r="AF59" t="s">
        <v>19</v>
      </c>
      <c r="AG59">
        <v>62</v>
      </c>
      <c r="AH59" t="s">
        <v>19</v>
      </c>
      <c r="AI59">
        <v>743.5</v>
      </c>
      <c r="AJ59" t="s">
        <v>19</v>
      </c>
    </row>
    <row r="60" spans="1:36" ht="15.75" thickBot="1" x14ac:dyDescent="0.3">
      <c r="A60" s="3" t="s">
        <v>243</v>
      </c>
      <c r="B60" s="4">
        <v>741771</v>
      </c>
      <c r="C60" s="4">
        <v>1001.3</v>
      </c>
      <c r="D60" s="4">
        <v>3</v>
      </c>
      <c r="E60" s="3" t="s">
        <v>19</v>
      </c>
      <c r="F60" s="3" t="s">
        <v>19</v>
      </c>
      <c r="G60" s="4">
        <v>1</v>
      </c>
      <c r="H60" s="4" t="s">
        <v>244</v>
      </c>
      <c r="I60" s="7" t="b">
        <f t="shared" si="2"/>
        <v>1</v>
      </c>
      <c r="J60" s="7"/>
      <c r="K60" s="7"/>
      <c r="L60" s="7"/>
      <c r="M60" s="7"/>
      <c r="N60" s="7"/>
      <c r="O60" s="7"/>
      <c r="AE60" t="s">
        <v>244</v>
      </c>
      <c r="AF60">
        <v>105</v>
      </c>
      <c r="AG60" t="s">
        <v>19</v>
      </c>
      <c r="AH60">
        <v>580.4</v>
      </c>
      <c r="AI60" t="s">
        <v>19</v>
      </c>
      <c r="AJ60" t="s">
        <v>19</v>
      </c>
    </row>
    <row r="61" spans="1:36" ht="15.75" thickBot="1" x14ac:dyDescent="0.3">
      <c r="A61" s="3" t="s">
        <v>245</v>
      </c>
      <c r="B61" s="4">
        <v>741794</v>
      </c>
      <c r="C61" s="4">
        <v>1002.2</v>
      </c>
      <c r="D61" s="4">
        <v>3</v>
      </c>
      <c r="E61" s="3" t="s">
        <v>19</v>
      </c>
      <c r="F61" s="3" t="s">
        <v>19</v>
      </c>
      <c r="G61" s="4">
        <v>1</v>
      </c>
      <c r="H61" s="4" t="s">
        <v>246</v>
      </c>
      <c r="I61" s="7" t="b">
        <f t="shared" si="2"/>
        <v>1</v>
      </c>
      <c r="J61" s="7"/>
      <c r="K61" s="7"/>
      <c r="L61" s="7"/>
      <c r="M61" s="7"/>
      <c r="N61" s="7"/>
      <c r="O61" s="7"/>
      <c r="AE61" t="s">
        <v>246</v>
      </c>
      <c r="AF61">
        <v>109</v>
      </c>
      <c r="AG61">
        <v>58</v>
      </c>
      <c r="AH61">
        <v>514.9</v>
      </c>
      <c r="AI61">
        <v>121.3</v>
      </c>
      <c r="AJ6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50EB-488C-427F-ABBA-EA5CDB24BFCB}">
  <dimension ref="A1:BR61"/>
  <sheetViews>
    <sheetView workbookViewId="0">
      <selection activeCell="S22" sqref="S22"/>
    </sheetView>
  </sheetViews>
  <sheetFormatPr defaultRowHeight="15" x14ac:dyDescent="0.25"/>
  <cols>
    <col min="20" max="20" width="25.5703125" bestFit="1" customWidth="1"/>
    <col min="21" max="21" width="19.42578125" bestFit="1" customWidth="1"/>
    <col min="22" max="22" width="11.7109375" bestFit="1" customWidth="1"/>
    <col min="23" max="23" width="18.28515625" bestFit="1" customWidth="1"/>
    <col min="24" max="26" width="11.5703125" bestFit="1" customWidth="1"/>
    <col min="27" max="27" width="19.28515625" bestFit="1" customWidth="1"/>
    <col min="34" max="34" width="25.5703125" bestFit="1" customWidth="1"/>
    <col min="35" max="35" width="19.42578125" bestFit="1" customWidth="1"/>
    <col min="36" max="36" width="11.7109375" bestFit="1" customWidth="1"/>
    <col min="37" max="37" width="18.28515625" bestFit="1" customWidth="1"/>
    <col min="38" max="40" width="11.5703125" bestFit="1" customWidth="1"/>
    <col min="41" max="41" width="19.28515625" bestFit="1" customWidth="1"/>
    <col min="54" max="54" width="25.5703125" bestFit="1" customWidth="1"/>
    <col min="55" max="55" width="19.42578125" bestFit="1" customWidth="1"/>
    <col min="56" max="56" width="11.7109375" bestFit="1" customWidth="1"/>
    <col min="57" max="57" width="18.28515625" bestFit="1" customWidth="1"/>
    <col min="58" max="60" width="11.5703125" bestFit="1" customWidth="1"/>
    <col min="61" max="61" width="19.28515625" bestFit="1" customWidth="1"/>
  </cols>
  <sheetData>
    <row r="1" spans="1:70" ht="15.75" thickBot="1" x14ac:dyDescent="0.3">
      <c r="A1" s="8" t="s">
        <v>251</v>
      </c>
      <c r="B1" s="8" t="s">
        <v>254</v>
      </c>
      <c r="G1" s="8" t="s">
        <v>252</v>
      </c>
      <c r="M1" s="8" t="s">
        <v>253</v>
      </c>
      <c r="T1" s="3" t="s">
        <v>247</v>
      </c>
      <c r="U1" s="3" t="s">
        <v>248</v>
      </c>
      <c r="V1" s="3" t="s">
        <v>249</v>
      </c>
      <c r="W1" s="3" t="s">
        <v>3</v>
      </c>
      <c r="X1" s="3" t="s">
        <v>4</v>
      </c>
      <c r="Y1" s="3" t="s">
        <v>5</v>
      </c>
      <c r="Z1" s="3" t="s">
        <v>6</v>
      </c>
      <c r="AA1" s="5" t="s">
        <v>250</v>
      </c>
      <c r="AB1" s="9" t="s">
        <v>255</v>
      </c>
      <c r="AC1" s="9" t="s">
        <v>256</v>
      </c>
      <c r="AD1" s="9" t="s">
        <v>257</v>
      </c>
      <c r="AH1" s="3" t="s">
        <v>247</v>
      </c>
      <c r="AI1" s="3" t="s">
        <v>248</v>
      </c>
      <c r="AJ1" s="3" t="s">
        <v>249</v>
      </c>
      <c r="AK1" s="3" t="s">
        <v>3</v>
      </c>
      <c r="AL1" s="3" t="s">
        <v>4</v>
      </c>
      <c r="AM1" s="3" t="s">
        <v>5</v>
      </c>
      <c r="AN1" s="3" t="s">
        <v>6</v>
      </c>
      <c r="AO1" s="5" t="s">
        <v>250</v>
      </c>
      <c r="AP1" s="9" t="s">
        <v>255</v>
      </c>
      <c r="AQ1" s="9" t="s">
        <v>256</v>
      </c>
      <c r="AR1" s="9" t="s">
        <v>257</v>
      </c>
      <c r="AS1" s="9" t="s">
        <v>255</v>
      </c>
      <c r="AT1" s="9" t="s">
        <v>256</v>
      </c>
      <c r="AU1" s="9" t="s">
        <v>257</v>
      </c>
      <c r="AV1" s="9" t="s">
        <v>255</v>
      </c>
      <c r="AW1" s="9" t="s">
        <v>256</v>
      </c>
      <c r="AX1" s="9" t="s">
        <v>257</v>
      </c>
      <c r="BB1" s="3" t="s">
        <v>247</v>
      </c>
      <c r="BC1" s="3" t="s">
        <v>248</v>
      </c>
      <c r="BD1" s="3" t="s">
        <v>249</v>
      </c>
      <c r="BE1" s="3" t="s">
        <v>3</v>
      </c>
      <c r="BF1" s="3" t="s">
        <v>4</v>
      </c>
      <c r="BG1" s="3" t="s">
        <v>5</v>
      </c>
      <c r="BH1" s="3" t="s">
        <v>6</v>
      </c>
      <c r="BI1" s="5" t="s">
        <v>250</v>
      </c>
      <c r="BJ1" t="s">
        <v>94</v>
      </c>
      <c r="BK1" t="s">
        <v>97</v>
      </c>
      <c r="BL1" t="s">
        <v>15</v>
      </c>
      <c r="BM1" t="s">
        <v>95</v>
      </c>
      <c r="BN1" t="s">
        <v>98</v>
      </c>
      <c r="BO1" t="s">
        <v>100</v>
      </c>
      <c r="BP1" t="s">
        <v>96</v>
      </c>
      <c r="BQ1" t="s">
        <v>99</v>
      </c>
      <c r="BR1" t="s">
        <v>101</v>
      </c>
    </row>
    <row r="2" spans="1:70" ht="30.75" thickBot="1" x14ac:dyDescent="0.3">
      <c r="B2" s="9" t="s">
        <v>255</v>
      </c>
      <c r="C2" s="9" t="s">
        <v>256</v>
      </c>
      <c r="D2" s="9" t="s">
        <v>257</v>
      </c>
      <c r="G2" s="9" t="s">
        <v>258</v>
      </c>
      <c r="H2" s="9" t="s">
        <v>255</v>
      </c>
      <c r="I2" s="9" t="s">
        <v>256</v>
      </c>
      <c r="J2" s="10" t="s">
        <v>257</v>
      </c>
      <c r="M2" s="9" t="s">
        <v>258</v>
      </c>
      <c r="N2" s="9" t="s">
        <v>255</v>
      </c>
      <c r="O2" s="9" t="s">
        <v>256</v>
      </c>
      <c r="P2" s="10" t="s">
        <v>257</v>
      </c>
      <c r="T2" s="3" t="s">
        <v>259</v>
      </c>
      <c r="U2" s="4">
        <v>741824</v>
      </c>
      <c r="V2" s="4">
        <v>1.2</v>
      </c>
      <c r="W2" s="4">
        <v>1</v>
      </c>
      <c r="X2" s="4">
        <v>1</v>
      </c>
      <c r="Y2" s="3" t="s">
        <v>19</v>
      </c>
      <c r="Z2" s="3" t="s">
        <v>19</v>
      </c>
      <c r="AA2" s="4">
        <v>1.2</v>
      </c>
      <c r="AB2">
        <f>VLOOKUP($AA2,$A$3:$D$22,2,FALSE)</f>
        <v>1.5</v>
      </c>
      <c r="AC2">
        <f>VLOOKUP($AA2,$A$3:$D$22,3,FALSE)</f>
        <v>31.5</v>
      </c>
      <c r="AD2">
        <f>VLOOKUP($AA2,$A$3:$D$22,4,FALSE)</f>
        <v>0</v>
      </c>
      <c r="AH2" s="3" t="s">
        <v>259</v>
      </c>
      <c r="AI2" s="4">
        <v>741824</v>
      </c>
      <c r="AJ2" s="4">
        <v>1.2</v>
      </c>
      <c r="AK2" s="4">
        <v>1</v>
      </c>
      <c r="AL2" s="4">
        <v>1</v>
      </c>
      <c r="AM2" s="3" t="s">
        <v>19</v>
      </c>
      <c r="AN2" s="3" t="s">
        <v>19</v>
      </c>
      <c r="AO2" s="4">
        <v>1.2</v>
      </c>
      <c r="AP2">
        <v>1.5</v>
      </c>
      <c r="AQ2">
        <v>31.5</v>
      </c>
      <c r="AR2">
        <v>0</v>
      </c>
      <c r="BB2" s="3" t="s">
        <v>259</v>
      </c>
      <c r="BC2" s="4">
        <v>741824</v>
      </c>
      <c r="BD2" s="4">
        <v>1.2</v>
      </c>
      <c r="BE2" s="4">
        <v>1</v>
      </c>
      <c r="BF2" s="4">
        <v>1</v>
      </c>
      <c r="BG2" s="3" t="s">
        <v>19</v>
      </c>
      <c r="BH2" s="3" t="s">
        <v>19</v>
      </c>
      <c r="BI2" s="4">
        <v>1.2</v>
      </c>
      <c r="BJ2">
        <v>31.5</v>
      </c>
      <c r="BK2">
        <v>0</v>
      </c>
      <c r="BL2">
        <v>1.5</v>
      </c>
    </row>
    <row r="3" spans="1:70" ht="30.75" thickBot="1" x14ac:dyDescent="0.3">
      <c r="A3" s="11">
        <v>1.2</v>
      </c>
      <c r="B3" s="12">
        <v>1.5</v>
      </c>
      <c r="C3" s="12">
        <v>31.5</v>
      </c>
      <c r="D3" s="13"/>
      <c r="G3" s="14">
        <v>1.1000000000000001</v>
      </c>
      <c r="H3" s="12">
        <v>4</v>
      </c>
      <c r="I3" s="12">
        <v>326.5</v>
      </c>
      <c r="J3" s="15"/>
      <c r="M3" s="14">
        <v>1.3</v>
      </c>
      <c r="N3" s="12">
        <v>13</v>
      </c>
      <c r="O3" s="12">
        <v>421</v>
      </c>
      <c r="P3" s="13"/>
      <c r="T3" s="3" t="s">
        <v>260</v>
      </c>
      <c r="U3" s="4">
        <v>741827</v>
      </c>
      <c r="V3" s="4">
        <v>2.2000000000000002</v>
      </c>
      <c r="W3" s="4">
        <v>1</v>
      </c>
      <c r="X3" s="4">
        <v>1</v>
      </c>
      <c r="Y3" s="3" t="s">
        <v>19</v>
      </c>
      <c r="Z3" s="3" t="s">
        <v>19</v>
      </c>
      <c r="AA3" s="4">
        <v>2.2000000000000002</v>
      </c>
      <c r="AB3">
        <f t="shared" ref="AB3:AB21" si="0">VLOOKUP($AA3,$A$3:$D$22,2,FALSE)</f>
        <v>2.1</v>
      </c>
      <c r="AC3">
        <f t="shared" ref="AC3:AC21" si="1">VLOOKUP($AA3,$A$3:$D$22,3,FALSE)</f>
        <v>12</v>
      </c>
      <c r="AD3">
        <f t="shared" ref="AD3:AD21" si="2">VLOOKUP($AA3,$A$3:$D$22,4,FALSE)</f>
        <v>6</v>
      </c>
      <c r="AH3" s="3" t="s">
        <v>260</v>
      </c>
      <c r="AI3" s="4">
        <v>741827</v>
      </c>
      <c r="AJ3" s="4">
        <v>2.2000000000000002</v>
      </c>
      <c r="AK3" s="4">
        <v>1</v>
      </c>
      <c r="AL3" s="4">
        <v>1</v>
      </c>
      <c r="AM3" s="3" t="s">
        <v>19</v>
      </c>
      <c r="AN3" s="3" t="s">
        <v>19</v>
      </c>
      <c r="AO3" s="4">
        <v>2.2000000000000002</v>
      </c>
      <c r="AP3">
        <v>2.1</v>
      </c>
      <c r="AQ3">
        <v>12</v>
      </c>
      <c r="AR3">
        <v>6</v>
      </c>
      <c r="BB3" s="3" t="s">
        <v>260</v>
      </c>
      <c r="BC3" s="4">
        <v>741827</v>
      </c>
      <c r="BD3" s="4">
        <v>2.2000000000000002</v>
      </c>
      <c r="BE3" s="4">
        <v>1</v>
      </c>
      <c r="BF3" s="4">
        <v>1</v>
      </c>
      <c r="BG3" s="3" t="s">
        <v>19</v>
      </c>
      <c r="BH3" s="3" t="s">
        <v>19</v>
      </c>
      <c r="BI3" s="4">
        <v>2.2000000000000002</v>
      </c>
      <c r="BJ3">
        <v>12</v>
      </c>
      <c r="BK3">
        <v>6</v>
      </c>
      <c r="BL3">
        <v>2.1</v>
      </c>
    </row>
    <row r="4" spans="1:70" ht="30.75" thickBot="1" x14ac:dyDescent="0.3">
      <c r="A4" s="11">
        <v>2.2000000000000002</v>
      </c>
      <c r="B4" s="12">
        <v>2.1</v>
      </c>
      <c r="C4" s="12">
        <v>12</v>
      </c>
      <c r="D4" s="12">
        <v>6</v>
      </c>
      <c r="G4" s="14">
        <v>2.2999999999999998</v>
      </c>
      <c r="H4" s="12">
        <v>72</v>
      </c>
      <c r="I4" s="12">
        <v>141.5</v>
      </c>
      <c r="J4" s="16">
        <v>61.5</v>
      </c>
      <c r="M4" s="14">
        <v>2.1</v>
      </c>
      <c r="N4" s="12">
        <v>50</v>
      </c>
      <c r="O4" s="12">
        <v>178</v>
      </c>
      <c r="P4" s="12">
        <v>82.5</v>
      </c>
      <c r="T4" s="3" t="s">
        <v>261</v>
      </c>
      <c r="U4" s="4">
        <v>741797</v>
      </c>
      <c r="V4" s="4">
        <v>3.2</v>
      </c>
      <c r="W4" s="4">
        <v>1</v>
      </c>
      <c r="X4" s="4">
        <v>1</v>
      </c>
      <c r="Y4" s="3" t="s">
        <v>19</v>
      </c>
      <c r="Z4" s="3" t="s">
        <v>19</v>
      </c>
      <c r="AA4" s="4">
        <v>3.2</v>
      </c>
      <c r="AB4">
        <f t="shared" si="0"/>
        <v>3.6</v>
      </c>
      <c r="AC4">
        <f t="shared" si="1"/>
        <v>0</v>
      </c>
      <c r="AD4">
        <f t="shared" si="2"/>
        <v>23</v>
      </c>
      <c r="AH4" s="3" t="s">
        <v>261</v>
      </c>
      <c r="AI4" s="4">
        <v>741797</v>
      </c>
      <c r="AJ4" s="4">
        <v>3.2</v>
      </c>
      <c r="AK4" s="4">
        <v>1</v>
      </c>
      <c r="AL4" s="4">
        <v>1</v>
      </c>
      <c r="AM4" s="3" t="s">
        <v>19</v>
      </c>
      <c r="AN4" s="3" t="s">
        <v>19</v>
      </c>
      <c r="AO4" s="4">
        <v>3.2</v>
      </c>
      <c r="AP4">
        <v>3.6</v>
      </c>
      <c r="AQ4">
        <v>0</v>
      </c>
      <c r="AR4">
        <v>23</v>
      </c>
      <c r="BB4" s="3" t="s">
        <v>261</v>
      </c>
      <c r="BC4" s="4">
        <v>741797</v>
      </c>
      <c r="BD4" s="4">
        <v>3.2</v>
      </c>
      <c r="BE4" s="4">
        <v>1</v>
      </c>
      <c r="BF4" s="4">
        <v>1</v>
      </c>
      <c r="BG4" s="3" t="s">
        <v>19</v>
      </c>
      <c r="BH4" s="3" t="s">
        <v>19</v>
      </c>
      <c r="BI4" s="4">
        <v>3.2</v>
      </c>
      <c r="BJ4">
        <v>0</v>
      </c>
      <c r="BK4">
        <v>23</v>
      </c>
      <c r="BL4">
        <v>3.6</v>
      </c>
    </row>
    <row r="5" spans="1:70" ht="30.75" thickBot="1" x14ac:dyDescent="0.3">
      <c r="A5" s="11">
        <v>3.2</v>
      </c>
      <c r="B5" s="12">
        <v>3.6</v>
      </c>
      <c r="C5" s="13"/>
      <c r="D5" s="12">
        <v>23</v>
      </c>
      <c r="G5" s="14">
        <v>3.1</v>
      </c>
      <c r="H5" s="12">
        <v>43</v>
      </c>
      <c r="I5" s="13"/>
      <c r="J5" s="16">
        <v>132</v>
      </c>
      <c r="M5" s="14">
        <v>3.3</v>
      </c>
      <c r="N5" s="12">
        <v>153</v>
      </c>
      <c r="O5" s="13"/>
      <c r="P5" s="12">
        <v>291.5</v>
      </c>
      <c r="T5" s="3" t="s">
        <v>262</v>
      </c>
      <c r="U5" s="4">
        <v>741807</v>
      </c>
      <c r="V5" s="4">
        <v>4.3</v>
      </c>
      <c r="W5" s="4">
        <v>1</v>
      </c>
      <c r="X5" s="4">
        <v>1</v>
      </c>
      <c r="Y5" s="3" t="s">
        <v>19</v>
      </c>
      <c r="Z5" s="3" t="s">
        <v>19</v>
      </c>
      <c r="AA5" s="4">
        <v>4.3</v>
      </c>
      <c r="AB5">
        <f t="shared" si="0"/>
        <v>2.81</v>
      </c>
      <c r="AC5">
        <f t="shared" si="1"/>
        <v>17</v>
      </c>
      <c r="AD5">
        <f t="shared" si="2"/>
        <v>11.5</v>
      </c>
      <c r="AH5" s="3" t="s">
        <v>262</v>
      </c>
      <c r="AI5" s="4">
        <v>741807</v>
      </c>
      <c r="AJ5" s="4">
        <v>4.3</v>
      </c>
      <c r="AK5" s="4">
        <v>1</v>
      </c>
      <c r="AL5" s="4">
        <v>1</v>
      </c>
      <c r="AM5" s="3" t="s">
        <v>19</v>
      </c>
      <c r="AN5" s="3" t="s">
        <v>19</v>
      </c>
      <c r="AO5" s="4">
        <v>4.3</v>
      </c>
      <c r="AP5">
        <v>2.81</v>
      </c>
      <c r="AQ5">
        <v>17</v>
      </c>
      <c r="AR5">
        <v>11.5</v>
      </c>
      <c r="BB5" s="3" t="s">
        <v>262</v>
      </c>
      <c r="BC5" s="4">
        <v>741807</v>
      </c>
      <c r="BD5" s="4">
        <v>4.3</v>
      </c>
      <c r="BE5" s="4">
        <v>1</v>
      </c>
      <c r="BF5" s="4">
        <v>1</v>
      </c>
      <c r="BG5" s="3" t="s">
        <v>19</v>
      </c>
      <c r="BH5" s="3" t="s">
        <v>19</v>
      </c>
      <c r="BI5" s="4">
        <v>4.3</v>
      </c>
      <c r="BJ5">
        <v>17</v>
      </c>
      <c r="BK5">
        <v>11.5</v>
      </c>
      <c r="BL5">
        <v>2.81</v>
      </c>
    </row>
    <row r="6" spans="1:70" ht="30.75" thickBot="1" x14ac:dyDescent="0.3">
      <c r="A6" s="11">
        <v>4.3</v>
      </c>
      <c r="B6" s="12">
        <v>2.81</v>
      </c>
      <c r="C6" s="12">
        <v>17</v>
      </c>
      <c r="D6" s="12">
        <v>11.5</v>
      </c>
      <c r="G6" s="14">
        <v>4.0999999999999996</v>
      </c>
      <c r="H6" s="12">
        <v>93.5</v>
      </c>
      <c r="I6" s="12">
        <v>198.5</v>
      </c>
      <c r="J6" s="16">
        <v>48.5</v>
      </c>
      <c r="M6" s="14">
        <v>4.2</v>
      </c>
      <c r="N6" s="12">
        <v>60</v>
      </c>
      <c r="O6" s="12">
        <v>280.5</v>
      </c>
      <c r="P6" s="12">
        <v>33.5</v>
      </c>
      <c r="T6" s="3" t="s">
        <v>263</v>
      </c>
      <c r="U6" s="4">
        <v>741802</v>
      </c>
      <c r="V6" s="4">
        <v>5.0999999999999996</v>
      </c>
      <c r="W6" s="4">
        <v>1</v>
      </c>
      <c r="X6" s="4">
        <v>1</v>
      </c>
      <c r="Y6" s="3" t="s">
        <v>19</v>
      </c>
      <c r="Z6" s="3" t="s">
        <v>19</v>
      </c>
      <c r="AA6" s="4">
        <v>5.0999999999999996</v>
      </c>
      <c r="AB6">
        <f t="shared" si="0"/>
        <v>1.64</v>
      </c>
      <c r="AC6">
        <f t="shared" si="1"/>
        <v>32.5</v>
      </c>
      <c r="AD6">
        <f t="shared" si="2"/>
        <v>0</v>
      </c>
      <c r="AH6" s="3" t="s">
        <v>263</v>
      </c>
      <c r="AI6" s="4">
        <v>741802</v>
      </c>
      <c r="AJ6" s="4">
        <v>5.0999999999999996</v>
      </c>
      <c r="AK6" s="4">
        <v>1</v>
      </c>
      <c r="AL6" s="4">
        <v>1</v>
      </c>
      <c r="AM6" s="3" t="s">
        <v>19</v>
      </c>
      <c r="AN6" s="3" t="s">
        <v>19</v>
      </c>
      <c r="AO6" s="4">
        <v>5.0999999999999996</v>
      </c>
      <c r="AP6">
        <v>1.64</v>
      </c>
      <c r="AQ6">
        <v>32.5</v>
      </c>
      <c r="AR6">
        <v>0</v>
      </c>
      <c r="BB6" s="3" t="s">
        <v>263</v>
      </c>
      <c r="BC6" s="4">
        <v>741802</v>
      </c>
      <c r="BD6" s="4">
        <v>5.0999999999999996</v>
      </c>
      <c r="BE6" s="4">
        <v>1</v>
      </c>
      <c r="BF6" s="4">
        <v>1</v>
      </c>
      <c r="BG6" s="3" t="s">
        <v>19</v>
      </c>
      <c r="BH6" s="3" t="s">
        <v>19</v>
      </c>
      <c r="BI6" s="4">
        <v>5.0999999999999996</v>
      </c>
      <c r="BJ6">
        <v>32.5</v>
      </c>
      <c r="BK6">
        <v>0</v>
      </c>
      <c r="BL6">
        <v>1.64</v>
      </c>
    </row>
    <row r="7" spans="1:70" ht="30.75" thickBot="1" x14ac:dyDescent="0.3">
      <c r="A7" s="11">
        <v>5.0999999999999996</v>
      </c>
      <c r="B7" s="12">
        <v>1.64</v>
      </c>
      <c r="C7" s="12">
        <v>32.5</v>
      </c>
      <c r="D7" s="13"/>
      <c r="G7" s="14">
        <v>5.3</v>
      </c>
      <c r="H7" s="12">
        <v>73</v>
      </c>
      <c r="I7" s="12">
        <v>258</v>
      </c>
      <c r="J7" s="15"/>
      <c r="M7" s="14">
        <v>5.2</v>
      </c>
      <c r="N7" s="12">
        <v>48</v>
      </c>
      <c r="O7" s="12">
        <v>404.5</v>
      </c>
      <c r="P7" s="13"/>
      <c r="T7" s="3" t="s">
        <v>264</v>
      </c>
      <c r="U7" s="4">
        <v>741809</v>
      </c>
      <c r="V7" s="4">
        <v>6.2</v>
      </c>
      <c r="W7" s="4">
        <v>1</v>
      </c>
      <c r="X7" s="4">
        <v>1</v>
      </c>
      <c r="Y7" s="3" t="s">
        <v>19</v>
      </c>
      <c r="Z7" s="3" t="s">
        <v>19</v>
      </c>
      <c r="AA7" s="4">
        <v>6.2</v>
      </c>
      <c r="AB7">
        <f t="shared" si="0"/>
        <v>1.0900000000000001</v>
      </c>
      <c r="AC7">
        <f t="shared" si="1"/>
        <v>24.5</v>
      </c>
      <c r="AD7">
        <f t="shared" si="2"/>
        <v>20.5</v>
      </c>
      <c r="AH7" s="3" t="s">
        <v>264</v>
      </c>
      <c r="AI7" s="4">
        <v>741809</v>
      </c>
      <c r="AJ7" s="4">
        <v>6.2</v>
      </c>
      <c r="AK7" s="4">
        <v>1</v>
      </c>
      <c r="AL7" s="4">
        <v>1</v>
      </c>
      <c r="AM7" s="3" t="s">
        <v>19</v>
      </c>
      <c r="AN7" s="3" t="s">
        <v>19</v>
      </c>
      <c r="AO7" s="4">
        <v>6.2</v>
      </c>
      <c r="AP7">
        <v>1.0900000000000001</v>
      </c>
      <c r="AQ7">
        <v>24.5</v>
      </c>
      <c r="AR7">
        <v>20.5</v>
      </c>
      <c r="BB7" s="3" t="s">
        <v>264</v>
      </c>
      <c r="BC7" s="4">
        <v>741809</v>
      </c>
      <c r="BD7" s="4">
        <v>6.2</v>
      </c>
      <c r="BE7" s="4">
        <v>1</v>
      </c>
      <c r="BF7" s="4">
        <v>1</v>
      </c>
      <c r="BG7" s="3" t="s">
        <v>19</v>
      </c>
      <c r="BH7" s="3" t="s">
        <v>19</v>
      </c>
      <c r="BI7" s="4">
        <v>6.2</v>
      </c>
      <c r="BJ7">
        <v>24.5</v>
      </c>
      <c r="BK7">
        <v>20.5</v>
      </c>
      <c r="BL7">
        <v>1.0900000000000001</v>
      </c>
    </row>
    <row r="8" spans="1:70" ht="30.75" thickBot="1" x14ac:dyDescent="0.3">
      <c r="A8" s="11">
        <v>6.2</v>
      </c>
      <c r="B8" s="12">
        <v>1.0900000000000001</v>
      </c>
      <c r="C8" s="12">
        <v>24.5</v>
      </c>
      <c r="D8" s="12">
        <v>20.5</v>
      </c>
      <c r="G8" s="14">
        <v>6.3</v>
      </c>
      <c r="H8" s="12">
        <v>15.5</v>
      </c>
      <c r="I8" s="12">
        <v>290.5</v>
      </c>
      <c r="J8" s="16">
        <v>43.5</v>
      </c>
      <c r="M8" s="14">
        <v>6.1</v>
      </c>
      <c r="N8" s="12">
        <v>47</v>
      </c>
      <c r="O8" s="12">
        <v>211.5</v>
      </c>
      <c r="P8" s="12">
        <v>117.5</v>
      </c>
      <c r="T8" s="3" t="s">
        <v>265</v>
      </c>
      <c r="U8" s="4">
        <v>741840</v>
      </c>
      <c r="V8" s="4">
        <v>7.3</v>
      </c>
      <c r="W8" s="4">
        <v>1</v>
      </c>
      <c r="X8" s="4">
        <v>1</v>
      </c>
      <c r="Y8" s="3" t="s">
        <v>19</v>
      </c>
      <c r="Z8" s="3" t="s">
        <v>19</v>
      </c>
      <c r="AA8" s="4">
        <v>7.3</v>
      </c>
      <c r="AB8">
        <f t="shared" si="0"/>
        <v>0.3</v>
      </c>
      <c r="AC8">
        <f t="shared" si="1"/>
        <v>0</v>
      </c>
      <c r="AD8">
        <f t="shared" si="2"/>
        <v>21.5</v>
      </c>
      <c r="AH8" s="3" t="s">
        <v>265</v>
      </c>
      <c r="AI8" s="4">
        <v>741840</v>
      </c>
      <c r="AJ8" s="4">
        <v>7.3</v>
      </c>
      <c r="AK8" s="4">
        <v>1</v>
      </c>
      <c r="AL8" s="4">
        <v>1</v>
      </c>
      <c r="AM8" s="3" t="s">
        <v>19</v>
      </c>
      <c r="AN8" s="3" t="s">
        <v>19</v>
      </c>
      <c r="AO8" s="4">
        <v>7.3</v>
      </c>
      <c r="AP8">
        <v>0.3</v>
      </c>
      <c r="AQ8">
        <v>0</v>
      </c>
      <c r="AR8">
        <v>21.5</v>
      </c>
      <c r="BB8" s="3" t="s">
        <v>265</v>
      </c>
      <c r="BC8" s="4">
        <v>741840</v>
      </c>
      <c r="BD8" s="4">
        <v>7.3</v>
      </c>
      <c r="BE8" s="4">
        <v>1</v>
      </c>
      <c r="BF8" s="4">
        <v>1</v>
      </c>
      <c r="BG8" s="3" t="s">
        <v>19</v>
      </c>
      <c r="BH8" s="3" t="s">
        <v>19</v>
      </c>
      <c r="BI8" s="4">
        <v>7.3</v>
      </c>
      <c r="BJ8">
        <v>0</v>
      </c>
      <c r="BK8">
        <v>21.5</v>
      </c>
      <c r="BL8">
        <v>0.3</v>
      </c>
    </row>
    <row r="9" spans="1:70" ht="30.75" thickBot="1" x14ac:dyDescent="0.3">
      <c r="A9" s="11">
        <v>7.3</v>
      </c>
      <c r="B9" s="12">
        <v>0.3</v>
      </c>
      <c r="C9" s="13"/>
      <c r="D9" s="12">
        <v>21.5</v>
      </c>
      <c r="G9" s="14">
        <v>7.1</v>
      </c>
      <c r="H9" s="12">
        <v>39</v>
      </c>
      <c r="I9" s="13"/>
      <c r="J9" s="16">
        <v>167.5</v>
      </c>
      <c r="M9" s="14">
        <v>7.2</v>
      </c>
      <c r="N9" s="12">
        <v>55</v>
      </c>
      <c r="O9" s="13"/>
      <c r="P9" s="12">
        <v>377</v>
      </c>
      <c r="T9" s="3" t="s">
        <v>266</v>
      </c>
      <c r="U9" s="4">
        <v>741853</v>
      </c>
      <c r="V9" s="4">
        <v>8.1</v>
      </c>
      <c r="W9" s="4">
        <v>1</v>
      </c>
      <c r="X9" s="4">
        <v>1</v>
      </c>
      <c r="Y9" s="3" t="s">
        <v>19</v>
      </c>
      <c r="Z9" s="3" t="s">
        <v>19</v>
      </c>
      <c r="AA9" s="4">
        <v>8.1</v>
      </c>
      <c r="AB9">
        <f t="shared" si="0"/>
        <v>0.5</v>
      </c>
      <c r="AC9">
        <f t="shared" si="1"/>
        <v>21</v>
      </c>
      <c r="AD9">
        <f t="shared" si="2"/>
        <v>14.5</v>
      </c>
      <c r="AH9" s="3" t="s">
        <v>266</v>
      </c>
      <c r="AI9" s="4">
        <v>741853</v>
      </c>
      <c r="AJ9" s="4">
        <v>8.1</v>
      </c>
      <c r="AK9" s="4">
        <v>1</v>
      </c>
      <c r="AL9" s="4">
        <v>1</v>
      </c>
      <c r="AM9" s="3" t="s">
        <v>19</v>
      </c>
      <c r="AN9" s="3" t="s">
        <v>19</v>
      </c>
      <c r="AO9" s="4">
        <v>8.1</v>
      </c>
      <c r="AP9">
        <v>0.5</v>
      </c>
      <c r="AQ9">
        <v>21</v>
      </c>
      <c r="AR9">
        <v>14.5</v>
      </c>
      <c r="BB9" s="3" t="s">
        <v>266</v>
      </c>
      <c r="BC9" s="4">
        <v>741853</v>
      </c>
      <c r="BD9" s="4">
        <v>8.1</v>
      </c>
      <c r="BE9" s="4">
        <v>1</v>
      </c>
      <c r="BF9" s="4">
        <v>1</v>
      </c>
      <c r="BG9" s="3" t="s">
        <v>19</v>
      </c>
      <c r="BH9" s="3" t="s">
        <v>19</v>
      </c>
      <c r="BI9" s="4">
        <v>8.1</v>
      </c>
      <c r="BJ9">
        <v>21</v>
      </c>
      <c r="BK9">
        <v>14.5</v>
      </c>
      <c r="BL9">
        <v>0.5</v>
      </c>
    </row>
    <row r="10" spans="1:70" ht="30.75" thickBot="1" x14ac:dyDescent="0.3">
      <c r="A10" s="11">
        <v>8.1</v>
      </c>
      <c r="B10" s="12">
        <v>0.5</v>
      </c>
      <c r="C10" s="17">
        <v>21</v>
      </c>
      <c r="D10" s="12">
        <v>14.5</v>
      </c>
      <c r="G10" s="14">
        <v>8.1999999999999993</v>
      </c>
      <c r="H10" s="13"/>
      <c r="I10" s="12">
        <v>261.5</v>
      </c>
      <c r="J10" s="16">
        <v>97.5</v>
      </c>
      <c r="M10" s="14">
        <v>8.3000000000000007</v>
      </c>
      <c r="N10" s="12">
        <v>8</v>
      </c>
      <c r="O10" s="12">
        <v>389.5</v>
      </c>
      <c r="P10" s="12">
        <v>65.5</v>
      </c>
      <c r="T10" s="3" t="s">
        <v>267</v>
      </c>
      <c r="U10" s="4">
        <v>741835</v>
      </c>
      <c r="V10" s="4">
        <v>9.1</v>
      </c>
      <c r="W10" s="4">
        <v>1</v>
      </c>
      <c r="X10" s="4">
        <v>1</v>
      </c>
      <c r="Y10" s="3" t="s">
        <v>19</v>
      </c>
      <c r="Z10" s="3" t="s">
        <v>19</v>
      </c>
      <c r="AA10" s="4">
        <v>9.1</v>
      </c>
      <c r="AB10">
        <f t="shared" si="0"/>
        <v>0.5</v>
      </c>
      <c r="AC10">
        <f t="shared" si="1"/>
        <v>0</v>
      </c>
      <c r="AD10">
        <f t="shared" si="2"/>
        <v>0</v>
      </c>
      <c r="AH10" s="3" t="s">
        <v>267</v>
      </c>
      <c r="AI10" s="4">
        <v>741835</v>
      </c>
      <c r="AJ10" s="4">
        <v>9.1</v>
      </c>
      <c r="AK10" s="4">
        <v>1</v>
      </c>
      <c r="AL10" s="4">
        <v>1</v>
      </c>
      <c r="AM10" s="3" t="s">
        <v>19</v>
      </c>
      <c r="AN10" s="3" t="s">
        <v>19</v>
      </c>
      <c r="AO10" s="4">
        <v>9.1</v>
      </c>
      <c r="AP10">
        <v>0.5</v>
      </c>
      <c r="AQ10">
        <v>0</v>
      </c>
      <c r="AR10">
        <v>0</v>
      </c>
      <c r="BB10" s="3" t="s">
        <v>267</v>
      </c>
      <c r="BC10" s="4">
        <v>741835</v>
      </c>
      <c r="BD10" s="4">
        <v>9.1</v>
      </c>
      <c r="BE10" s="4">
        <v>1</v>
      </c>
      <c r="BF10" s="4">
        <v>1</v>
      </c>
      <c r="BG10" s="3" t="s">
        <v>19</v>
      </c>
      <c r="BH10" s="3" t="s">
        <v>19</v>
      </c>
      <c r="BI10" s="4">
        <v>9.1</v>
      </c>
      <c r="BJ10">
        <v>0</v>
      </c>
      <c r="BK10">
        <v>0</v>
      </c>
      <c r="BL10">
        <v>0.5</v>
      </c>
    </row>
    <row r="11" spans="1:70" ht="30.75" thickBot="1" x14ac:dyDescent="0.3">
      <c r="A11" s="11">
        <v>9.1</v>
      </c>
      <c r="B11" s="12">
        <v>0.5</v>
      </c>
      <c r="C11" s="13"/>
      <c r="D11" s="13"/>
      <c r="G11" s="14">
        <v>9.1999999999999993</v>
      </c>
      <c r="H11" s="13"/>
      <c r="I11" s="12">
        <v>381</v>
      </c>
      <c r="J11" s="15"/>
      <c r="M11" s="14">
        <v>9.3000000000000007</v>
      </c>
      <c r="N11" s="13"/>
      <c r="O11" s="12">
        <v>385.5</v>
      </c>
      <c r="P11" s="13"/>
      <c r="T11" s="3" t="s">
        <v>268</v>
      </c>
      <c r="U11" s="4">
        <v>741822</v>
      </c>
      <c r="V11" s="4">
        <v>10.3</v>
      </c>
      <c r="W11" s="4">
        <v>1</v>
      </c>
      <c r="X11" s="4">
        <v>1</v>
      </c>
      <c r="Y11" s="3" t="s">
        <v>19</v>
      </c>
      <c r="Z11" s="3" t="s">
        <v>19</v>
      </c>
      <c r="AA11" s="4">
        <v>10.3</v>
      </c>
      <c r="AB11">
        <f t="shared" si="0"/>
        <v>0</v>
      </c>
      <c r="AC11">
        <f t="shared" si="1"/>
        <v>11.5</v>
      </c>
      <c r="AD11">
        <f t="shared" si="2"/>
        <v>16</v>
      </c>
      <c r="AH11" s="3" t="s">
        <v>268</v>
      </c>
      <c r="AI11" s="4">
        <v>741822</v>
      </c>
      <c r="AJ11" s="4">
        <v>10.3</v>
      </c>
      <c r="AK11" s="4">
        <v>1</v>
      </c>
      <c r="AL11" s="4">
        <v>1</v>
      </c>
      <c r="AM11" s="3" t="s">
        <v>19</v>
      </c>
      <c r="AN11" s="3" t="s">
        <v>19</v>
      </c>
      <c r="AO11" s="4">
        <v>10.3</v>
      </c>
      <c r="AP11">
        <v>0</v>
      </c>
      <c r="AQ11">
        <v>11.5</v>
      </c>
      <c r="AR11">
        <v>16</v>
      </c>
      <c r="BB11" s="3" t="s">
        <v>268</v>
      </c>
      <c r="BC11" s="4">
        <v>741822</v>
      </c>
      <c r="BD11" s="4">
        <v>10.3</v>
      </c>
      <c r="BE11" s="4">
        <v>1</v>
      </c>
      <c r="BF11" s="4">
        <v>1</v>
      </c>
      <c r="BG11" s="3" t="s">
        <v>19</v>
      </c>
      <c r="BH11" s="3" t="s">
        <v>19</v>
      </c>
      <c r="BI11" s="4">
        <v>10.3</v>
      </c>
      <c r="BJ11">
        <v>11.5</v>
      </c>
      <c r="BK11">
        <v>16</v>
      </c>
      <c r="BL11">
        <v>0</v>
      </c>
    </row>
    <row r="12" spans="1:70" ht="30.75" thickBot="1" x14ac:dyDescent="0.3">
      <c r="A12" s="18">
        <v>10.3</v>
      </c>
      <c r="B12" s="13"/>
      <c r="C12" s="12">
        <v>11.5</v>
      </c>
      <c r="D12" s="12">
        <v>16</v>
      </c>
      <c r="G12" s="14">
        <v>10.199999999999999</v>
      </c>
      <c r="H12" s="13"/>
      <c r="I12" s="12">
        <v>235.5</v>
      </c>
      <c r="J12" s="16">
        <v>82.5</v>
      </c>
      <c r="M12" s="14">
        <v>10.1</v>
      </c>
      <c r="N12" s="13"/>
      <c r="O12" s="12">
        <v>264.5</v>
      </c>
      <c r="P12" s="12">
        <v>137.5</v>
      </c>
      <c r="T12" s="3" t="s">
        <v>269</v>
      </c>
      <c r="U12" s="4">
        <v>741800</v>
      </c>
      <c r="V12" s="4">
        <v>11.2</v>
      </c>
      <c r="W12" s="4">
        <v>1</v>
      </c>
      <c r="X12" s="4">
        <v>1</v>
      </c>
      <c r="Y12" s="3" t="s">
        <v>19</v>
      </c>
      <c r="Z12" s="3" t="s">
        <v>19</v>
      </c>
      <c r="AA12" s="4">
        <v>11.2</v>
      </c>
      <c r="AB12">
        <f t="shared" si="0"/>
        <v>1.39</v>
      </c>
      <c r="AC12">
        <f t="shared" si="1"/>
        <v>67.5</v>
      </c>
      <c r="AD12">
        <f t="shared" si="2"/>
        <v>0</v>
      </c>
      <c r="AH12" s="3" t="s">
        <v>269</v>
      </c>
      <c r="AI12" s="4">
        <v>741800</v>
      </c>
      <c r="AJ12" s="4">
        <v>11.2</v>
      </c>
      <c r="AK12" s="4">
        <v>1</v>
      </c>
      <c r="AL12" s="4">
        <v>1</v>
      </c>
      <c r="AM12" s="3" t="s">
        <v>19</v>
      </c>
      <c r="AN12" s="3" t="s">
        <v>19</v>
      </c>
      <c r="AO12" s="4">
        <v>11.2</v>
      </c>
      <c r="AP12">
        <v>1.39</v>
      </c>
      <c r="AQ12">
        <v>67.5</v>
      </c>
      <c r="AR12">
        <v>0</v>
      </c>
      <c r="BB12" s="3" t="s">
        <v>269</v>
      </c>
      <c r="BC12" s="4">
        <v>741800</v>
      </c>
      <c r="BD12" s="4">
        <v>11.2</v>
      </c>
      <c r="BE12" s="4">
        <v>1</v>
      </c>
      <c r="BF12" s="4">
        <v>1</v>
      </c>
      <c r="BG12" s="3" t="s">
        <v>19</v>
      </c>
      <c r="BH12" s="3" t="s">
        <v>19</v>
      </c>
      <c r="BI12" s="4">
        <v>11.2</v>
      </c>
      <c r="BJ12">
        <v>67.5</v>
      </c>
      <c r="BK12">
        <v>0</v>
      </c>
      <c r="BL12">
        <v>1.39</v>
      </c>
    </row>
    <row r="13" spans="1:70" ht="30.75" thickBot="1" x14ac:dyDescent="0.3">
      <c r="A13" s="11">
        <v>11.2</v>
      </c>
      <c r="B13" s="12">
        <v>1.39</v>
      </c>
      <c r="C13" s="12">
        <v>67.5</v>
      </c>
      <c r="D13" s="13"/>
      <c r="G13" s="14">
        <v>11.1</v>
      </c>
      <c r="H13" s="12">
        <v>8</v>
      </c>
      <c r="I13" s="12">
        <v>323.5</v>
      </c>
      <c r="J13" s="15"/>
      <c r="M13" s="14">
        <v>11.3</v>
      </c>
      <c r="N13" s="12">
        <v>19</v>
      </c>
      <c r="O13" s="12">
        <v>752.5</v>
      </c>
      <c r="P13" s="13"/>
      <c r="T13" s="3" t="s">
        <v>270</v>
      </c>
      <c r="U13" s="4">
        <v>741812</v>
      </c>
      <c r="V13" s="4">
        <v>12.2</v>
      </c>
      <c r="W13" s="4">
        <v>1</v>
      </c>
      <c r="X13" s="4">
        <v>1</v>
      </c>
      <c r="Y13" s="3" t="s">
        <v>19</v>
      </c>
      <c r="Z13" s="3" t="s">
        <v>19</v>
      </c>
      <c r="AA13" s="4">
        <v>12.2</v>
      </c>
      <c r="AB13">
        <f t="shared" si="0"/>
        <v>5.83</v>
      </c>
      <c r="AC13">
        <f t="shared" si="1"/>
        <v>25.5</v>
      </c>
      <c r="AD13">
        <f t="shared" si="2"/>
        <v>13.5</v>
      </c>
      <c r="AH13" s="3" t="s">
        <v>270</v>
      </c>
      <c r="AI13" s="4">
        <v>741812</v>
      </c>
      <c r="AJ13" s="4">
        <v>12.2</v>
      </c>
      <c r="AK13" s="4">
        <v>1</v>
      </c>
      <c r="AL13" s="4">
        <v>1</v>
      </c>
      <c r="AM13" s="3" t="s">
        <v>19</v>
      </c>
      <c r="AN13" s="3" t="s">
        <v>19</v>
      </c>
      <c r="AO13" s="4">
        <v>12.2</v>
      </c>
      <c r="AP13">
        <v>5.83</v>
      </c>
      <c r="AQ13">
        <v>25.5</v>
      </c>
      <c r="AR13">
        <v>13.5</v>
      </c>
      <c r="BB13" s="3" t="s">
        <v>270</v>
      </c>
      <c r="BC13" s="4">
        <v>741812</v>
      </c>
      <c r="BD13" s="4">
        <v>12.2</v>
      </c>
      <c r="BE13" s="4">
        <v>1</v>
      </c>
      <c r="BF13" s="4">
        <v>1</v>
      </c>
      <c r="BG13" s="3" t="s">
        <v>19</v>
      </c>
      <c r="BH13" s="3" t="s">
        <v>19</v>
      </c>
      <c r="BI13" s="4">
        <v>12.2</v>
      </c>
      <c r="BJ13">
        <v>25.5</v>
      </c>
      <c r="BK13">
        <v>13.5</v>
      </c>
      <c r="BL13">
        <v>5.83</v>
      </c>
    </row>
    <row r="14" spans="1:70" ht="30.75" thickBot="1" x14ac:dyDescent="0.3">
      <c r="A14" s="11">
        <v>12.2</v>
      </c>
      <c r="B14" s="12">
        <v>5.83</v>
      </c>
      <c r="C14" s="12">
        <v>25.5</v>
      </c>
      <c r="D14" s="12">
        <v>13.5</v>
      </c>
      <c r="G14" s="14">
        <v>12.1</v>
      </c>
      <c r="H14" s="12">
        <v>12.5</v>
      </c>
      <c r="I14" s="12">
        <v>289.5</v>
      </c>
      <c r="J14" s="16">
        <v>46.5</v>
      </c>
      <c r="M14" s="14">
        <v>12.3</v>
      </c>
      <c r="N14" s="12">
        <v>35</v>
      </c>
      <c r="O14" s="12">
        <v>172.5</v>
      </c>
      <c r="P14" s="12">
        <v>204</v>
      </c>
      <c r="T14" s="3" t="s">
        <v>271</v>
      </c>
      <c r="U14" s="4">
        <v>741848</v>
      </c>
      <c r="V14" s="4">
        <v>13.2</v>
      </c>
      <c r="W14" s="4">
        <v>1</v>
      </c>
      <c r="X14" s="4">
        <v>1</v>
      </c>
      <c r="Y14" s="3" t="s">
        <v>19</v>
      </c>
      <c r="Z14" s="3" t="s">
        <v>19</v>
      </c>
      <c r="AA14" s="4">
        <v>13.2</v>
      </c>
      <c r="AB14">
        <f t="shared" si="0"/>
        <v>14.67</v>
      </c>
      <c r="AC14">
        <f t="shared" si="1"/>
        <v>0</v>
      </c>
      <c r="AD14">
        <f t="shared" si="2"/>
        <v>22</v>
      </c>
      <c r="AH14" s="3" t="s">
        <v>271</v>
      </c>
      <c r="AI14" s="4">
        <v>741848</v>
      </c>
      <c r="AJ14" s="4">
        <v>13.2</v>
      </c>
      <c r="AK14" s="4">
        <v>1</v>
      </c>
      <c r="AL14" s="4">
        <v>1</v>
      </c>
      <c r="AM14" s="3" t="s">
        <v>19</v>
      </c>
      <c r="AN14" s="3" t="s">
        <v>19</v>
      </c>
      <c r="AO14" s="4">
        <v>13.2</v>
      </c>
      <c r="AP14">
        <v>14.67</v>
      </c>
      <c r="AQ14">
        <v>0</v>
      </c>
      <c r="AR14">
        <v>22</v>
      </c>
      <c r="BB14" s="3" t="s">
        <v>271</v>
      </c>
      <c r="BC14" s="4">
        <v>741848</v>
      </c>
      <c r="BD14" s="4">
        <v>13.2</v>
      </c>
      <c r="BE14" s="4">
        <v>1</v>
      </c>
      <c r="BF14" s="4">
        <v>1</v>
      </c>
      <c r="BG14" s="3" t="s">
        <v>19</v>
      </c>
      <c r="BH14" s="3" t="s">
        <v>19</v>
      </c>
      <c r="BI14" s="4">
        <v>13.2</v>
      </c>
      <c r="BJ14">
        <v>0</v>
      </c>
      <c r="BK14">
        <v>22</v>
      </c>
      <c r="BL14">
        <v>14.67</v>
      </c>
    </row>
    <row r="15" spans="1:70" ht="30.75" thickBot="1" x14ac:dyDescent="0.3">
      <c r="A15" s="11">
        <v>13.2</v>
      </c>
      <c r="B15" s="12">
        <v>14.67</v>
      </c>
      <c r="C15" s="13"/>
      <c r="D15" s="12">
        <v>22</v>
      </c>
      <c r="G15" s="14">
        <v>13.1</v>
      </c>
      <c r="H15" s="12">
        <v>37.5</v>
      </c>
      <c r="I15" s="13"/>
      <c r="J15" s="16">
        <v>199</v>
      </c>
      <c r="M15" s="14">
        <v>13.3</v>
      </c>
      <c r="N15" s="12">
        <v>112</v>
      </c>
      <c r="O15" s="13"/>
      <c r="P15" s="12">
        <v>331.5</v>
      </c>
      <c r="T15" s="3" t="s">
        <v>272</v>
      </c>
      <c r="U15" s="4">
        <v>741833</v>
      </c>
      <c r="V15" s="4">
        <v>14.2</v>
      </c>
      <c r="W15" s="4">
        <v>1</v>
      </c>
      <c r="X15" s="4">
        <v>1</v>
      </c>
      <c r="Y15" s="3" t="s">
        <v>19</v>
      </c>
      <c r="Z15" s="3" t="s">
        <v>19</v>
      </c>
      <c r="AA15" s="4">
        <v>14.2</v>
      </c>
      <c r="AB15">
        <f t="shared" si="0"/>
        <v>0.96</v>
      </c>
      <c r="AC15">
        <f t="shared" si="1"/>
        <v>31.5</v>
      </c>
      <c r="AD15">
        <f t="shared" si="2"/>
        <v>19</v>
      </c>
      <c r="AH15" s="3" t="s">
        <v>272</v>
      </c>
      <c r="AI15" s="4">
        <v>741833</v>
      </c>
      <c r="AJ15" s="4">
        <v>14.2</v>
      </c>
      <c r="AK15" s="4">
        <v>1</v>
      </c>
      <c r="AL15" s="4">
        <v>1</v>
      </c>
      <c r="AM15" s="3" t="s">
        <v>19</v>
      </c>
      <c r="AN15" s="3" t="s">
        <v>19</v>
      </c>
      <c r="AO15" s="4">
        <v>14.2</v>
      </c>
      <c r="AP15">
        <v>0.96</v>
      </c>
      <c r="AQ15">
        <v>31.5</v>
      </c>
      <c r="AR15">
        <v>19</v>
      </c>
      <c r="BB15" s="3" t="s">
        <v>272</v>
      </c>
      <c r="BC15" s="4">
        <v>741833</v>
      </c>
      <c r="BD15" s="4">
        <v>14.2</v>
      </c>
      <c r="BE15" s="4">
        <v>1</v>
      </c>
      <c r="BF15" s="4">
        <v>1</v>
      </c>
      <c r="BG15" s="3" t="s">
        <v>19</v>
      </c>
      <c r="BH15" s="3" t="s">
        <v>19</v>
      </c>
      <c r="BI15" s="4">
        <v>14.2</v>
      </c>
      <c r="BJ15">
        <v>31.5</v>
      </c>
      <c r="BK15">
        <v>19</v>
      </c>
      <c r="BL15">
        <v>0.96</v>
      </c>
    </row>
    <row r="16" spans="1:70" ht="30.75" thickBot="1" x14ac:dyDescent="0.3">
      <c r="A16" s="11">
        <v>14.2</v>
      </c>
      <c r="B16" s="12">
        <v>0.96</v>
      </c>
      <c r="C16" s="12">
        <v>31.5</v>
      </c>
      <c r="D16" s="12">
        <v>19</v>
      </c>
      <c r="G16" s="14">
        <v>14.1</v>
      </c>
      <c r="H16" s="12">
        <v>11.5</v>
      </c>
      <c r="I16" s="12">
        <v>163.5</v>
      </c>
      <c r="J16" s="16">
        <v>152.5</v>
      </c>
      <c r="M16" s="14">
        <v>14.3</v>
      </c>
      <c r="N16" s="12">
        <v>8</v>
      </c>
      <c r="O16" s="12">
        <v>275</v>
      </c>
      <c r="P16" s="12">
        <v>164.5</v>
      </c>
      <c r="T16" s="3" t="s">
        <v>273</v>
      </c>
      <c r="U16" s="4">
        <v>741844</v>
      </c>
      <c r="V16" s="4">
        <v>15.1</v>
      </c>
      <c r="W16" s="4">
        <v>1</v>
      </c>
      <c r="X16" s="4">
        <v>1</v>
      </c>
      <c r="Y16" s="3" t="s">
        <v>19</v>
      </c>
      <c r="Z16" s="3" t="s">
        <v>19</v>
      </c>
      <c r="AA16" s="4">
        <v>15.1</v>
      </c>
      <c r="AB16">
        <f t="shared" si="0"/>
        <v>0.5</v>
      </c>
      <c r="AC16">
        <f t="shared" si="1"/>
        <v>37</v>
      </c>
      <c r="AD16">
        <f t="shared" si="2"/>
        <v>0</v>
      </c>
      <c r="AH16" s="3" t="s">
        <v>273</v>
      </c>
      <c r="AI16" s="4">
        <v>741844</v>
      </c>
      <c r="AJ16" s="4">
        <v>15.1</v>
      </c>
      <c r="AK16" s="4">
        <v>1</v>
      </c>
      <c r="AL16" s="4">
        <v>1</v>
      </c>
      <c r="AM16" s="3" t="s">
        <v>19</v>
      </c>
      <c r="AN16" s="3" t="s">
        <v>19</v>
      </c>
      <c r="AO16" s="4">
        <v>15.1</v>
      </c>
      <c r="AP16">
        <v>0.5</v>
      </c>
      <c r="AQ16">
        <v>37</v>
      </c>
      <c r="AR16">
        <v>0</v>
      </c>
      <c r="BB16" s="3" t="s">
        <v>273</v>
      </c>
      <c r="BC16" s="4">
        <v>741844</v>
      </c>
      <c r="BD16" s="4">
        <v>15.1</v>
      </c>
      <c r="BE16" s="4">
        <v>1</v>
      </c>
      <c r="BF16" s="4">
        <v>1</v>
      </c>
      <c r="BG16" s="3" t="s">
        <v>19</v>
      </c>
      <c r="BH16" s="3" t="s">
        <v>19</v>
      </c>
      <c r="BI16" s="4">
        <v>15.1</v>
      </c>
      <c r="BJ16">
        <v>37</v>
      </c>
      <c r="BK16">
        <v>0</v>
      </c>
      <c r="BL16">
        <v>0.5</v>
      </c>
    </row>
    <row r="17" spans="1:67" ht="30.75" thickBot="1" x14ac:dyDescent="0.3">
      <c r="A17" s="11">
        <v>15.1</v>
      </c>
      <c r="B17" s="12">
        <v>0.5</v>
      </c>
      <c r="C17" s="12">
        <v>37</v>
      </c>
      <c r="D17" s="13"/>
      <c r="G17" s="14">
        <v>15.3</v>
      </c>
      <c r="H17" s="13"/>
      <c r="I17" s="12">
        <v>347.5</v>
      </c>
      <c r="J17" s="15"/>
      <c r="M17" s="14">
        <v>15.2</v>
      </c>
      <c r="N17" s="12">
        <v>4</v>
      </c>
      <c r="O17" s="12">
        <v>472.5</v>
      </c>
      <c r="P17" s="13"/>
      <c r="T17" s="3" t="s">
        <v>274</v>
      </c>
      <c r="U17" s="4">
        <v>741818</v>
      </c>
      <c r="V17" s="4">
        <v>16.2</v>
      </c>
      <c r="W17" s="4">
        <v>1</v>
      </c>
      <c r="X17" s="4">
        <v>1</v>
      </c>
      <c r="Y17" s="3" t="s">
        <v>19</v>
      </c>
      <c r="Z17" s="3" t="s">
        <v>19</v>
      </c>
      <c r="AA17" s="4">
        <v>16.2</v>
      </c>
      <c r="AB17">
        <f t="shared" si="0"/>
        <v>1</v>
      </c>
      <c r="AC17">
        <f t="shared" si="1"/>
        <v>17.5</v>
      </c>
      <c r="AD17">
        <f t="shared" si="2"/>
        <v>17</v>
      </c>
      <c r="AH17" s="3" t="s">
        <v>274</v>
      </c>
      <c r="AI17" s="4">
        <v>741818</v>
      </c>
      <c r="AJ17" s="4">
        <v>16.2</v>
      </c>
      <c r="AK17" s="4">
        <v>1</v>
      </c>
      <c r="AL17" s="4">
        <v>1</v>
      </c>
      <c r="AM17" s="3" t="s">
        <v>19</v>
      </c>
      <c r="AN17" s="3" t="s">
        <v>19</v>
      </c>
      <c r="AO17" s="4">
        <v>16.2</v>
      </c>
      <c r="AP17">
        <v>1</v>
      </c>
      <c r="AQ17">
        <v>17.5</v>
      </c>
      <c r="AR17">
        <v>17</v>
      </c>
      <c r="BB17" s="3" t="s">
        <v>274</v>
      </c>
      <c r="BC17" s="4">
        <v>741818</v>
      </c>
      <c r="BD17" s="4">
        <v>16.2</v>
      </c>
      <c r="BE17" s="4">
        <v>1</v>
      </c>
      <c r="BF17" s="4">
        <v>1</v>
      </c>
      <c r="BG17" s="3" t="s">
        <v>19</v>
      </c>
      <c r="BH17" s="3" t="s">
        <v>19</v>
      </c>
      <c r="BI17" s="4">
        <v>16.2</v>
      </c>
      <c r="BJ17">
        <v>17.5</v>
      </c>
      <c r="BK17">
        <v>17</v>
      </c>
      <c r="BL17">
        <v>1</v>
      </c>
    </row>
    <row r="18" spans="1:67" ht="30.75" thickBot="1" x14ac:dyDescent="0.3">
      <c r="A18" s="11">
        <v>16.2</v>
      </c>
      <c r="B18" s="12">
        <v>1</v>
      </c>
      <c r="C18" s="12">
        <v>17.5</v>
      </c>
      <c r="D18" s="12">
        <v>17</v>
      </c>
      <c r="G18" s="14">
        <v>16.100000000000001</v>
      </c>
      <c r="H18" s="12">
        <v>3.5</v>
      </c>
      <c r="I18" s="12">
        <v>257.5</v>
      </c>
      <c r="J18" s="16">
        <v>64</v>
      </c>
      <c r="M18" s="14">
        <v>16.3</v>
      </c>
      <c r="N18" s="12">
        <v>17</v>
      </c>
      <c r="O18" s="12">
        <v>311</v>
      </c>
      <c r="P18" s="12">
        <v>129.5</v>
      </c>
      <c r="T18" s="3" t="s">
        <v>275</v>
      </c>
      <c r="U18" s="4">
        <v>741842</v>
      </c>
      <c r="V18" s="4">
        <v>17.2</v>
      </c>
      <c r="W18" s="4">
        <v>1</v>
      </c>
      <c r="X18" s="4">
        <v>1</v>
      </c>
      <c r="Y18" s="3" t="s">
        <v>19</v>
      </c>
      <c r="Z18" s="3" t="s">
        <v>19</v>
      </c>
      <c r="AA18" s="4">
        <v>17.2</v>
      </c>
      <c r="AB18">
        <f t="shared" si="0"/>
        <v>5.9</v>
      </c>
      <c r="AC18">
        <f t="shared" si="1"/>
        <v>0</v>
      </c>
      <c r="AD18">
        <f t="shared" si="2"/>
        <v>29</v>
      </c>
      <c r="AH18" s="3" t="s">
        <v>275</v>
      </c>
      <c r="AI18" s="4">
        <v>741842</v>
      </c>
      <c r="AJ18" s="4">
        <v>17.2</v>
      </c>
      <c r="AK18" s="4">
        <v>1</v>
      </c>
      <c r="AL18" s="4">
        <v>1</v>
      </c>
      <c r="AM18" s="3" t="s">
        <v>19</v>
      </c>
      <c r="AN18" s="3" t="s">
        <v>19</v>
      </c>
      <c r="AO18" s="4">
        <v>17.2</v>
      </c>
      <c r="AP18">
        <v>5.9</v>
      </c>
      <c r="AQ18">
        <v>0</v>
      </c>
      <c r="AR18">
        <v>29</v>
      </c>
      <c r="BB18" s="3" t="s">
        <v>275</v>
      </c>
      <c r="BC18" s="4">
        <v>741842</v>
      </c>
      <c r="BD18" s="4">
        <v>17.2</v>
      </c>
      <c r="BE18" s="4">
        <v>1</v>
      </c>
      <c r="BF18" s="4">
        <v>1</v>
      </c>
      <c r="BG18" s="3" t="s">
        <v>19</v>
      </c>
      <c r="BH18" s="3" t="s">
        <v>19</v>
      </c>
      <c r="BI18" s="4">
        <v>17.2</v>
      </c>
      <c r="BJ18">
        <v>0</v>
      </c>
      <c r="BK18">
        <v>29</v>
      </c>
      <c r="BL18">
        <v>5.9</v>
      </c>
    </row>
    <row r="19" spans="1:67" ht="30.75" thickBot="1" x14ac:dyDescent="0.3">
      <c r="A19" s="18">
        <v>17.2</v>
      </c>
      <c r="B19" s="12">
        <v>5.9</v>
      </c>
      <c r="C19" s="13"/>
      <c r="D19" s="12">
        <v>29</v>
      </c>
      <c r="G19" s="14">
        <v>17.3</v>
      </c>
      <c r="H19" s="12">
        <v>26.5</v>
      </c>
      <c r="I19" s="13"/>
      <c r="J19" s="16">
        <v>246.5</v>
      </c>
      <c r="M19" s="14">
        <v>17.100000000000001</v>
      </c>
      <c r="N19" s="12">
        <v>75</v>
      </c>
      <c r="O19" s="13"/>
      <c r="P19" s="12">
        <v>517.5</v>
      </c>
      <c r="T19" s="3" t="s">
        <v>276</v>
      </c>
      <c r="U19" s="4">
        <v>741815</v>
      </c>
      <c r="V19" s="4">
        <v>18.2</v>
      </c>
      <c r="W19" s="4">
        <v>1</v>
      </c>
      <c r="X19" s="4">
        <v>1</v>
      </c>
      <c r="Y19" s="3" t="s">
        <v>19</v>
      </c>
      <c r="Z19" s="3" t="s">
        <v>19</v>
      </c>
      <c r="AA19" s="4">
        <v>18.2</v>
      </c>
      <c r="AB19">
        <f t="shared" si="0"/>
        <v>5.5</v>
      </c>
      <c r="AC19">
        <f t="shared" si="1"/>
        <v>12</v>
      </c>
      <c r="AD19">
        <f t="shared" si="2"/>
        <v>15</v>
      </c>
      <c r="AH19" s="3" t="s">
        <v>276</v>
      </c>
      <c r="AI19" s="4">
        <v>741815</v>
      </c>
      <c r="AJ19" s="4">
        <v>18.2</v>
      </c>
      <c r="AK19" s="4">
        <v>1</v>
      </c>
      <c r="AL19" s="4">
        <v>1</v>
      </c>
      <c r="AM19" s="3" t="s">
        <v>19</v>
      </c>
      <c r="AN19" s="3" t="s">
        <v>19</v>
      </c>
      <c r="AO19" s="4">
        <v>18.2</v>
      </c>
      <c r="AP19">
        <v>5.5</v>
      </c>
      <c r="AQ19">
        <v>12</v>
      </c>
      <c r="AR19">
        <v>15</v>
      </c>
      <c r="BB19" s="3" t="s">
        <v>276</v>
      </c>
      <c r="BC19" s="4">
        <v>741815</v>
      </c>
      <c r="BD19" s="4">
        <v>18.2</v>
      </c>
      <c r="BE19" s="4">
        <v>1</v>
      </c>
      <c r="BF19" s="4">
        <v>1</v>
      </c>
      <c r="BG19" s="3" t="s">
        <v>19</v>
      </c>
      <c r="BH19" s="3" t="s">
        <v>19</v>
      </c>
      <c r="BI19" s="4">
        <v>18.2</v>
      </c>
      <c r="BJ19">
        <v>12</v>
      </c>
      <c r="BK19">
        <v>15</v>
      </c>
      <c r="BL19">
        <v>5.5</v>
      </c>
    </row>
    <row r="20" spans="1:67" ht="30.75" thickBot="1" x14ac:dyDescent="0.3">
      <c r="A20" s="18">
        <v>18.2</v>
      </c>
      <c r="B20" s="12">
        <v>5.5</v>
      </c>
      <c r="C20" s="12">
        <v>12</v>
      </c>
      <c r="D20" s="12">
        <v>15</v>
      </c>
      <c r="G20" s="14">
        <v>18.3</v>
      </c>
      <c r="H20" s="12">
        <v>7.5</v>
      </c>
      <c r="I20" s="12">
        <v>231.5</v>
      </c>
      <c r="J20" s="16">
        <v>117</v>
      </c>
      <c r="M20" s="14">
        <v>18.100000000000001</v>
      </c>
      <c r="N20" s="12">
        <v>24</v>
      </c>
      <c r="O20" s="12">
        <v>305.5</v>
      </c>
      <c r="P20" s="12">
        <v>127.5</v>
      </c>
      <c r="T20" s="3" t="s">
        <v>277</v>
      </c>
      <c r="U20" s="4">
        <v>741851</v>
      </c>
      <c r="V20" s="4">
        <v>19.2</v>
      </c>
      <c r="W20" s="4">
        <v>1</v>
      </c>
      <c r="X20" s="4">
        <v>1</v>
      </c>
      <c r="Y20" s="3" t="s">
        <v>19</v>
      </c>
      <c r="Z20" s="3" t="s">
        <v>19</v>
      </c>
      <c r="AA20" s="4">
        <v>19.2</v>
      </c>
      <c r="AB20">
        <f t="shared" si="0"/>
        <v>14.84</v>
      </c>
      <c r="AC20">
        <f t="shared" si="1"/>
        <v>0</v>
      </c>
      <c r="AD20">
        <f t="shared" si="2"/>
        <v>24.5</v>
      </c>
      <c r="AH20" s="3" t="s">
        <v>277</v>
      </c>
      <c r="AI20" s="4">
        <v>741851</v>
      </c>
      <c r="AJ20" s="4">
        <v>19.2</v>
      </c>
      <c r="AK20" s="4">
        <v>1</v>
      </c>
      <c r="AL20" s="4">
        <v>1</v>
      </c>
      <c r="AM20" s="3" t="s">
        <v>19</v>
      </c>
      <c r="AN20" s="3" t="s">
        <v>19</v>
      </c>
      <c r="AO20" s="4">
        <v>19.2</v>
      </c>
      <c r="AP20">
        <v>14.84</v>
      </c>
      <c r="AQ20">
        <v>0</v>
      </c>
      <c r="AR20">
        <v>24.5</v>
      </c>
      <c r="BB20" s="3" t="s">
        <v>277</v>
      </c>
      <c r="BC20" s="4">
        <v>741851</v>
      </c>
      <c r="BD20" s="4">
        <v>19.2</v>
      </c>
      <c r="BE20" s="4">
        <v>1</v>
      </c>
      <c r="BF20" s="4">
        <v>1</v>
      </c>
      <c r="BG20" s="3" t="s">
        <v>19</v>
      </c>
      <c r="BH20" s="3" t="s">
        <v>19</v>
      </c>
      <c r="BI20" s="4">
        <v>19.2</v>
      </c>
      <c r="BJ20">
        <v>0</v>
      </c>
      <c r="BK20">
        <v>24.5</v>
      </c>
      <c r="BL20">
        <v>14.84</v>
      </c>
    </row>
    <row r="21" spans="1:67" ht="30.75" thickBot="1" x14ac:dyDescent="0.3">
      <c r="A21" s="18">
        <v>19.2</v>
      </c>
      <c r="B21" s="12">
        <v>14.84</v>
      </c>
      <c r="C21" s="13"/>
      <c r="D21" s="12">
        <v>24.5</v>
      </c>
      <c r="G21" s="14">
        <v>19.100000000000001</v>
      </c>
      <c r="H21" s="12">
        <v>57</v>
      </c>
      <c r="I21" s="13"/>
      <c r="J21" s="16">
        <v>210</v>
      </c>
      <c r="M21" s="14">
        <v>19.3</v>
      </c>
      <c r="N21" s="12">
        <v>88</v>
      </c>
      <c r="O21" s="13"/>
      <c r="P21" s="12">
        <v>451</v>
      </c>
      <c r="T21" s="3" t="s">
        <v>278</v>
      </c>
      <c r="U21" s="4">
        <v>741830</v>
      </c>
      <c r="V21" s="4">
        <v>20.2</v>
      </c>
      <c r="W21" s="4">
        <v>1</v>
      </c>
      <c r="X21" s="4">
        <v>1</v>
      </c>
      <c r="Y21" s="3" t="s">
        <v>19</v>
      </c>
      <c r="Z21" s="3" t="s">
        <v>19</v>
      </c>
      <c r="AA21" s="4">
        <v>20.2</v>
      </c>
      <c r="AB21">
        <f t="shared" si="0"/>
        <v>9.7799999999999994</v>
      </c>
      <c r="AC21">
        <f t="shared" si="1"/>
        <v>24</v>
      </c>
      <c r="AD21">
        <f t="shared" si="2"/>
        <v>8</v>
      </c>
      <c r="AH21" s="3" t="s">
        <v>278</v>
      </c>
      <c r="AI21" s="4">
        <v>741830</v>
      </c>
      <c r="AJ21" s="4">
        <v>20.2</v>
      </c>
      <c r="AK21" s="4">
        <v>1</v>
      </c>
      <c r="AL21" s="4">
        <v>1</v>
      </c>
      <c r="AM21" s="3" t="s">
        <v>19</v>
      </c>
      <c r="AN21" s="3" t="s">
        <v>19</v>
      </c>
      <c r="AO21" s="4">
        <v>20.2</v>
      </c>
      <c r="AP21">
        <v>9.7799999999999994</v>
      </c>
      <c r="AQ21">
        <v>24</v>
      </c>
      <c r="AR21">
        <v>8</v>
      </c>
      <c r="BB21" s="3" t="s">
        <v>278</v>
      </c>
      <c r="BC21" s="4">
        <v>741830</v>
      </c>
      <c r="BD21" s="4">
        <v>20.2</v>
      </c>
      <c r="BE21" s="4">
        <v>1</v>
      </c>
      <c r="BF21" s="4">
        <v>1</v>
      </c>
      <c r="BG21" s="3" t="s">
        <v>19</v>
      </c>
      <c r="BH21" s="3" t="s">
        <v>19</v>
      </c>
      <c r="BI21" s="4">
        <v>20.2</v>
      </c>
      <c r="BJ21">
        <v>24</v>
      </c>
      <c r="BK21">
        <v>8</v>
      </c>
      <c r="BL21">
        <v>9.7799999999999994</v>
      </c>
    </row>
    <row r="22" spans="1:67" ht="30.75" thickBot="1" x14ac:dyDescent="0.3">
      <c r="A22" s="18">
        <v>20.2</v>
      </c>
      <c r="B22" s="12">
        <v>9.7799999999999994</v>
      </c>
      <c r="C22" s="12">
        <v>24</v>
      </c>
      <c r="D22" s="12">
        <v>8</v>
      </c>
      <c r="G22" s="14">
        <v>20.100000000000001</v>
      </c>
      <c r="H22" s="12">
        <v>25</v>
      </c>
      <c r="I22" s="12">
        <v>315</v>
      </c>
      <c r="J22" s="16">
        <v>77.5</v>
      </c>
      <c r="M22" s="14">
        <v>20.3</v>
      </c>
      <c r="N22" s="12">
        <v>64</v>
      </c>
      <c r="O22" s="12">
        <v>339.5</v>
      </c>
      <c r="P22" s="12">
        <v>183.5</v>
      </c>
      <c r="T22" s="3" t="s">
        <v>279</v>
      </c>
      <c r="U22" s="4">
        <v>741823</v>
      </c>
      <c r="V22" s="4">
        <v>1.1000000000000001</v>
      </c>
      <c r="W22" s="4">
        <v>2</v>
      </c>
      <c r="X22" s="3" t="s">
        <v>19</v>
      </c>
      <c r="Y22" s="4">
        <v>1</v>
      </c>
      <c r="Z22" s="3" t="s">
        <v>19</v>
      </c>
      <c r="AA22" s="4">
        <v>1.1000000000000001</v>
      </c>
      <c r="AB22">
        <f>VLOOKUP($AA22,$G$3:$J$22,2,FALSE)</f>
        <v>4</v>
      </c>
      <c r="AC22">
        <f>VLOOKUP($AA22,$G$3:$J$22,3,FALSE)</f>
        <v>326.5</v>
      </c>
      <c r="AD22">
        <f>VLOOKUP($AA22,$G$3:$J$22,4,FALSE)</f>
        <v>0</v>
      </c>
      <c r="AH22" s="3" t="s">
        <v>279</v>
      </c>
      <c r="AI22" s="4">
        <v>741823</v>
      </c>
      <c r="AJ22" s="4">
        <v>1.1000000000000001</v>
      </c>
      <c r="AK22" s="4">
        <v>2</v>
      </c>
      <c r="AL22" s="3" t="s">
        <v>19</v>
      </c>
      <c r="AM22" s="4">
        <v>1</v>
      </c>
      <c r="AN22" s="3" t="s">
        <v>19</v>
      </c>
      <c r="AO22" s="4">
        <v>1.1000000000000001</v>
      </c>
      <c r="AS22">
        <v>4</v>
      </c>
      <c r="AT22">
        <v>326.5</v>
      </c>
      <c r="AU22">
        <v>0</v>
      </c>
      <c r="BB22" s="3" t="s">
        <v>279</v>
      </c>
      <c r="BC22" s="4">
        <v>741823</v>
      </c>
      <c r="BD22" s="4">
        <v>1.1000000000000001</v>
      </c>
      <c r="BE22" s="4">
        <v>2</v>
      </c>
      <c r="BF22" s="3" t="s">
        <v>19</v>
      </c>
      <c r="BG22" s="4">
        <v>1</v>
      </c>
      <c r="BH22" s="3" t="s">
        <v>19</v>
      </c>
      <c r="BI22" s="4">
        <v>1.1000000000000001</v>
      </c>
      <c r="BM22">
        <v>326.5</v>
      </c>
      <c r="BN22">
        <v>0</v>
      </c>
      <c r="BO22">
        <v>4</v>
      </c>
    </row>
    <row r="23" spans="1:67" ht="30.75" thickBot="1" x14ac:dyDescent="0.3">
      <c r="T23" s="3" t="s">
        <v>280</v>
      </c>
      <c r="U23" s="4">
        <v>741828</v>
      </c>
      <c r="V23" s="4">
        <v>2.2999999999999998</v>
      </c>
      <c r="W23" s="4">
        <v>2</v>
      </c>
      <c r="X23" s="3" t="s">
        <v>19</v>
      </c>
      <c r="Y23" s="4">
        <v>1</v>
      </c>
      <c r="Z23" s="3" t="s">
        <v>19</v>
      </c>
      <c r="AA23" s="4">
        <v>2.2999999999999998</v>
      </c>
      <c r="AB23">
        <f t="shared" ref="AB23:AB41" si="3">VLOOKUP($AA23,$G$3:$J$22,2,FALSE)</f>
        <v>72</v>
      </c>
      <c r="AC23">
        <f t="shared" ref="AC23:AC41" si="4">VLOOKUP($AA23,$G$3:$J$22,3,FALSE)</f>
        <v>141.5</v>
      </c>
      <c r="AD23">
        <f t="shared" ref="AD23:AD41" si="5">VLOOKUP($AA23,$G$3:$J$22,4,FALSE)</f>
        <v>61.5</v>
      </c>
      <c r="AH23" s="3" t="s">
        <v>280</v>
      </c>
      <c r="AI23" s="4">
        <v>741828</v>
      </c>
      <c r="AJ23" s="4">
        <v>2.2999999999999998</v>
      </c>
      <c r="AK23" s="4">
        <v>2</v>
      </c>
      <c r="AL23" s="3" t="s">
        <v>19</v>
      </c>
      <c r="AM23" s="4">
        <v>1</v>
      </c>
      <c r="AN23" s="3" t="s">
        <v>19</v>
      </c>
      <c r="AO23" s="4">
        <v>2.2999999999999998</v>
      </c>
      <c r="AS23">
        <v>72</v>
      </c>
      <c r="AT23">
        <v>141.5</v>
      </c>
      <c r="AU23">
        <v>61.5</v>
      </c>
      <c r="BB23" s="3" t="s">
        <v>280</v>
      </c>
      <c r="BC23" s="4">
        <v>741828</v>
      </c>
      <c r="BD23" s="4">
        <v>2.2999999999999998</v>
      </c>
      <c r="BE23" s="4">
        <v>2</v>
      </c>
      <c r="BF23" s="3" t="s">
        <v>19</v>
      </c>
      <c r="BG23" s="4">
        <v>1</v>
      </c>
      <c r="BH23" s="3" t="s">
        <v>19</v>
      </c>
      <c r="BI23" s="4">
        <v>2.2999999999999998</v>
      </c>
      <c r="BM23">
        <v>141.5</v>
      </c>
      <c r="BN23">
        <v>61.5</v>
      </c>
      <c r="BO23">
        <v>72</v>
      </c>
    </row>
    <row r="24" spans="1:67" ht="30.75" thickBot="1" x14ac:dyDescent="0.3">
      <c r="T24" s="3" t="s">
        <v>281</v>
      </c>
      <c r="U24" s="4">
        <v>741796</v>
      </c>
      <c r="V24" s="4">
        <v>3.1</v>
      </c>
      <c r="W24" s="4">
        <v>2</v>
      </c>
      <c r="X24" s="3" t="s">
        <v>19</v>
      </c>
      <c r="Y24" s="4">
        <v>1</v>
      </c>
      <c r="Z24" s="3" t="s">
        <v>19</v>
      </c>
      <c r="AA24" s="4">
        <v>3.1</v>
      </c>
      <c r="AB24">
        <f t="shared" si="3"/>
        <v>43</v>
      </c>
      <c r="AC24">
        <f t="shared" si="4"/>
        <v>0</v>
      </c>
      <c r="AD24">
        <f t="shared" si="5"/>
        <v>132</v>
      </c>
      <c r="AH24" s="3" t="s">
        <v>281</v>
      </c>
      <c r="AI24" s="4">
        <v>741796</v>
      </c>
      <c r="AJ24" s="4">
        <v>3.1</v>
      </c>
      <c r="AK24" s="4">
        <v>2</v>
      </c>
      <c r="AL24" s="3" t="s">
        <v>19</v>
      </c>
      <c r="AM24" s="4">
        <v>1</v>
      </c>
      <c r="AN24" s="3" t="s">
        <v>19</v>
      </c>
      <c r="AO24" s="4">
        <v>3.1</v>
      </c>
      <c r="AS24">
        <v>43</v>
      </c>
      <c r="AT24">
        <v>0</v>
      </c>
      <c r="AU24">
        <v>132</v>
      </c>
      <c r="BB24" s="3" t="s">
        <v>281</v>
      </c>
      <c r="BC24" s="4">
        <v>741796</v>
      </c>
      <c r="BD24" s="4">
        <v>3.1</v>
      </c>
      <c r="BE24" s="4">
        <v>2</v>
      </c>
      <c r="BF24" s="3" t="s">
        <v>19</v>
      </c>
      <c r="BG24" s="4">
        <v>1</v>
      </c>
      <c r="BH24" s="3" t="s">
        <v>19</v>
      </c>
      <c r="BI24" s="4">
        <v>3.1</v>
      </c>
      <c r="BM24">
        <v>0</v>
      </c>
      <c r="BN24">
        <v>132</v>
      </c>
      <c r="BO24">
        <v>43</v>
      </c>
    </row>
    <row r="25" spans="1:67" ht="30.75" thickBot="1" x14ac:dyDescent="0.3">
      <c r="T25" s="3" t="s">
        <v>282</v>
      </c>
      <c r="U25" s="4">
        <v>741805</v>
      </c>
      <c r="V25" s="4">
        <v>4.0999999999999996</v>
      </c>
      <c r="W25" s="4">
        <v>2</v>
      </c>
      <c r="X25" s="3" t="s">
        <v>19</v>
      </c>
      <c r="Y25" s="4">
        <v>1</v>
      </c>
      <c r="Z25" s="3" t="s">
        <v>19</v>
      </c>
      <c r="AA25" s="4">
        <v>4.0999999999999996</v>
      </c>
      <c r="AB25">
        <f t="shared" si="3"/>
        <v>93.5</v>
      </c>
      <c r="AC25">
        <f t="shared" si="4"/>
        <v>198.5</v>
      </c>
      <c r="AD25">
        <f t="shared" si="5"/>
        <v>48.5</v>
      </c>
      <c r="AH25" s="3" t="s">
        <v>282</v>
      </c>
      <c r="AI25" s="4">
        <v>741805</v>
      </c>
      <c r="AJ25" s="4">
        <v>4.0999999999999996</v>
      </c>
      <c r="AK25" s="4">
        <v>2</v>
      </c>
      <c r="AL25" s="3" t="s">
        <v>19</v>
      </c>
      <c r="AM25" s="4">
        <v>1</v>
      </c>
      <c r="AN25" s="3" t="s">
        <v>19</v>
      </c>
      <c r="AO25" s="4">
        <v>4.0999999999999996</v>
      </c>
      <c r="AS25">
        <v>93.5</v>
      </c>
      <c r="AT25">
        <v>198.5</v>
      </c>
      <c r="AU25">
        <v>48.5</v>
      </c>
      <c r="BB25" s="3" t="s">
        <v>282</v>
      </c>
      <c r="BC25" s="4">
        <v>741805</v>
      </c>
      <c r="BD25" s="4">
        <v>4.0999999999999996</v>
      </c>
      <c r="BE25" s="4">
        <v>2</v>
      </c>
      <c r="BF25" s="3" t="s">
        <v>19</v>
      </c>
      <c r="BG25" s="4">
        <v>1</v>
      </c>
      <c r="BH25" s="3" t="s">
        <v>19</v>
      </c>
      <c r="BI25" s="4">
        <v>4.0999999999999996</v>
      </c>
      <c r="BM25">
        <v>198.5</v>
      </c>
      <c r="BN25">
        <v>48.5</v>
      </c>
      <c r="BO25">
        <v>93.5</v>
      </c>
    </row>
    <row r="26" spans="1:67" ht="30.75" thickBot="1" x14ac:dyDescent="0.3">
      <c r="T26" s="3" t="s">
        <v>283</v>
      </c>
      <c r="U26" s="4">
        <v>741804</v>
      </c>
      <c r="V26" s="4">
        <v>5.3</v>
      </c>
      <c r="W26" s="4">
        <v>2</v>
      </c>
      <c r="X26" s="3" t="s">
        <v>19</v>
      </c>
      <c r="Y26" s="4">
        <v>1</v>
      </c>
      <c r="Z26" s="3" t="s">
        <v>19</v>
      </c>
      <c r="AA26" s="4">
        <v>5.3</v>
      </c>
      <c r="AB26">
        <f t="shared" si="3"/>
        <v>73</v>
      </c>
      <c r="AC26">
        <f t="shared" si="4"/>
        <v>258</v>
      </c>
      <c r="AD26">
        <f t="shared" si="5"/>
        <v>0</v>
      </c>
      <c r="AH26" s="3" t="s">
        <v>283</v>
      </c>
      <c r="AI26" s="4">
        <v>741804</v>
      </c>
      <c r="AJ26" s="4">
        <v>5.3</v>
      </c>
      <c r="AK26" s="4">
        <v>2</v>
      </c>
      <c r="AL26" s="3" t="s">
        <v>19</v>
      </c>
      <c r="AM26" s="4">
        <v>1</v>
      </c>
      <c r="AN26" s="3" t="s">
        <v>19</v>
      </c>
      <c r="AO26" s="4">
        <v>5.3</v>
      </c>
      <c r="AS26">
        <v>73</v>
      </c>
      <c r="AT26">
        <v>258</v>
      </c>
      <c r="AU26">
        <v>0</v>
      </c>
      <c r="BB26" s="3" t="s">
        <v>283</v>
      </c>
      <c r="BC26" s="4">
        <v>741804</v>
      </c>
      <c r="BD26" s="4">
        <v>5.3</v>
      </c>
      <c r="BE26" s="4">
        <v>2</v>
      </c>
      <c r="BF26" s="3" t="s">
        <v>19</v>
      </c>
      <c r="BG26" s="4">
        <v>1</v>
      </c>
      <c r="BH26" s="3" t="s">
        <v>19</v>
      </c>
      <c r="BI26" s="4">
        <v>5.3</v>
      </c>
      <c r="BM26">
        <v>258</v>
      </c>
      <c r="BN26">
        <v>0</v>
      </c>
      <c r="BO26">
        <v>73</v>
      </c>
    </row>
    <row r="27" spans="1:67" ht="30.75" thickBot="1" x14ac:dyDescent="0.3">
      <c r="T27" s="3" t="s">
        <v>284</v>
      </c>
      <c r="U27" s="4">
        <v>741810</v>
      </c>
      <c r="V27" s="4">
        <v>6.3</v>
      </c>
      <c r="W27" s="4">
        <v>2</v>
      </c>
      <c r="X27" s="3" t="s">
        <v>19</v>
      </c>
      <c r="Y27" s="4">
        <v>1</v>
      </c>
      <c r="Z27" s="3" t="s">
        <v>19</v>
      </c>
      <c r="AA27" s="4">
        <v>6.3</v>
      </c>
      <c r="AB27">
        <f t="shared" si="3"/>
        <v>15.5</v>
      </c>
      <c r="AC27">
        <f t="shared" si="4"/>
        <v>290.5</v>
      </c>
      <c r="AD27">
        <f t="shared" si="5"/>
        <v>43.5</v>
      </c>
      <c r="AH27" s="3" t="s">
        <v>284</v>
      </c>
      <c r="AI27" s="4">
        <v>741810</v>
      </c>
      <c r="AJ27" s="4">
        <v>6.3</v>
      </c>
      <c r="AK27" s="4">
        <v>2</v>
      </c>
      <c r="AL27" s="3" t="s">
        <v>19</v>
      </c>
      <c r="AM27" s="4">
        <v>1</v>
      </c>
      <c r="AN27" s="3" t="s">
        <v>19</v>
      </c>
      <c r="AO27" s="4">
        <v>6.3</v>
      </c>
      <c r="AS27">
        <v>15.5</v>
      </c>
      <c r="AT27">
        <v>290.5</v>
      </c>
      <c r="AU27">
        <v>43.5</v>
      </c>
      <c r="BB27" s="3" t="s">
        <v>284</v>
      </c>
      <c r="BC27" s="4">
        <v>741810</v>
      </c>
      <c r="BD27" s="4">
        <v>6.3</v>
      </c>
      <c r="BE27" s="4">
        <v>2</v>
      </c>
      <c r="BF27" s="3" t="s">
        <v>19</v>
      </c>
      <c r="BG27" s="4">
        <v>1</v>
      </c>
      <c r="BH27" s="3" t="s">
        <v>19</v>
      </c>
      <c r="BI27" s="4">
        <v>6.3</v>
      </c>
      <c r="BM27">
        <v>290.5</v>
      </c>
      <c r="BN27">
        <v>43.5</v>
      </c>
      <c r="BO27">
        <v>15.5</v>
      </c>
    </row>
    <row r="28" spans="1:67" ht="30.75" thickBot="1" x14ac:dyDescent="0.3">
      <c r="T28" s="3" t="s">
        <v>285</v>
      </c>
      <c r="U28" s="4">
        <v>741838</v>
      </c>
      <c r="V28" s="4">
        <v>7.1</v>
      </c>
      <c r="W28" s="4">
        <v>2</v>
      </c>
      <c r="X28" s="3" t="s">
        <v>19</v>
      </c>
      <c r="Y28" s="4">
        <v>1</v>
      </c>
      <c r="Z28" s="3" t="s">
        <v>19</v>
      </c>
      <c r="AA28" s="4">
        <v>7.1</v>
      </c>
      <c r="AB28">
        <f t="shared" si="3"/>
        <v>39</v>
      </c>
      <c r="AC28">
        <f t="shared" si="4"/>
        <v>0</v>
      </c>
      <c r="AD28">
        <f t="shared" si="5"/>
        <v>167.5</v>
      </c>
      <c r="AH28" s="3" t="s">
        <v>285</v>
      </c>
      <c r="AI28" s="4">
        <v>741838</v>
      </c>
      <c r="AJ28" s="4">
        <v>7.1</v>
      </c>
      <c r="AK28" s="4">
        <v>2</v>
      </c>
      <c r="AL28" s="3" t="s">
        <v>19</v>
      </c>
      <c r="AM28" s="4">
        <v>1</v>
      </c>
      <c r="AN28" s="3" t="s">
        <v>19</v>
      </c>
      <c r="AO28" s="4">
        <v>7.1</v>
      </c>
      <c r="AS28">
        <v>39</v>
      </c>
      <c r="AT28">
        <v>0</v>
      </c>
      <c r="AU28">
        <v>167.5</v>
      </c>
      <c r="BB28" s="3" t="s">
        <v>285</v>
      </c>
      <c r="BC28" s="4">
        <v>741838</v>
      </c>
      <c r="BD28" s="4">
        <v>7.1</v>
      </c>
      <c r="BE28" s="4">
        <v>2</v>
      </c>
      <c r="BF28" s="3" t="s">
        <v>19</v>
      </c>
      <c r="BG28" s="4">
        <v>1</v>
      </c>
      <c r="BH28" s="3" t="s">
        <v>19</v>
      </c>
      <c r="BI28" s="4">
        <v>7.1</v>
      </c>
      <c r="BM28">
        <v>0</v>
      </c>
      <c r="BN28">
        <v>167.5</v>
      </c>
      <c r="BO28">
        <v>39</v>
      </c>
    </row>
    <row r="29" spans="1:67" ht="30.75" thickBot="1" x14ac:dyDescent="0.3">
      <c r="T29" s="3" t="s">
        <v>286</v>
      </c>
      <c r="U29" s="4">
        <v>741854</v>
      </c>
      <c r="V29" s="4">
        <v>8.1999999999999993</v>
      </c>
      <c r="W29" s="4">
        <v>2</v>
      </c>
      <c r="X29" s="3" t="s">
        <v>19</v>
      </c>
      <c r="Y29" s="4">
        <v>1</v>
      </c>
      <c r="Z29" s="3" t="s">
        <v>19</v>
      </c>
      <c r="AA29" s="4">
        <v>8.1999999999999993</v>
      </c>
      <c r="AB29">
        <f t="shared" si="3"/>
        <v>0</v>
      </c>
      <c r="AC29">
        <f t="shared" si="4"/>
        <v>261.5</v>
      </c>
      <c r="AD29">
        <f t="shared" si="5"/>
        <v>97.5</v>
      </c>
      <c r="AH29" s="3" t="s">
        <v>286</v>
      </c>
      <c r="AI29" s="4">
        <v>741854</v>
      </c>
      <c r="AJ29" s="4">
        <v>8.1999999999999993</v>
      </c>
      <c r="AK29" s="4">
        <v>2</v>
      </c>
      <c r="AL29" s="3" t="s">
        <v>19</v>
      </c>
      <c r="AM29" s="4">
        <v>1</v>
      </c>
      <c r="AN29" s="3" t="s">
        <v>19</v>
      </c>
      <c r="AO29" s="4">
        <v>8.1999999999999993</v>
      </c>
      <c r="AS29">
        <v>0</v>
      </c>
      <c r="AT29">
        <v>261.5</v>
      </c>
      <c r="AU29">
        <v>97.5</v>
      </c>
      <c r="BB29" s="3" t="s">
        <v>286</v>
      </c>
      <c r="BC29" s="4">
        <v>741854</v>
      </c>
      <c r="BD29" s="4">
        <v>8.1999999999999993</v>
      </c>
      <c r="BE29" s="4">
        <v>2</v>
      </c>
      <c r="BF29" s="3" t="s">
        <v>19</v>
      </c>
      <c r="BG29" s="4">
        <v>1</v>
      </c>
      <c r="BH29" s="3" t="s">
        <v>19</v>
      </c>
      <c r="BI29" s="4">
        <v>8.1999999999999993</v>
      </c>
      <c r="BM29">
        <v>261.5</v>
      </c>
      <c r="BN29">
        <v>97.5</v>
      </c>
      <c r="BO29">
        <v>0</v>
      </c>
    </row>
    <row r="30" spans="1:67" ht="30.75" thickBot="1" x14ac:dyDescent="0.3">
      <c r="T30" s="3" t="s">
        <v>287</v>
      </c>
      <c r="U30" s="4">
        <v>741836</v>
      </c>
      <c r="V30" s="4">
        <v>9.1999999999999993</v>
      </c>
      <c r="W30" s="4">
        <v>2</v>
      </c>
      <c r="X30" s="3" t="s">
        <v>19</v>
      </c>
      <c r="Y30" s="4">
        <v>1</v>
      </c>
      <c r="Z30" s="3" t="s">
        <v>19</v>
      </c>
      <c r="AA30" s="4">
        <v>9.1999999999999993</v>
      </c>
      <c r="AB30">
        <f t="shared" si="3"/>
        <v>0</v>
      </c>
      <c r="AC30">
        <f t="shared" si="4"/>
        <v>381</v>
      </c>
      <c r="AD30">
        <f t="shared" si="5"/>
        <v>0</v>
      </c>
      <c r="AH30" s="3" t="s">
        <v>287</v>
      </c>
      <c r="AI30" s="4">
        <v>741836</v>
      </c>
      <c r="AJ30" s="4">
        <v>9.1999999999999993</v>
      </c>
      <c r="AK30" s="4">
        <v>2</v>
      </c>
      <c r="AL30" s="3" t="s">
        <v>19</v>
      </c>
      <c r="AM30" s="4">
        <v>1</v>
      </c>
      <c r="AN30" s="3" t="s">
        <v>19</v>
      </c>
      <c r="AO30" s="4">
        <v>9.1999999999999993</v>
      </c>
      <c r="AS30">
        <v>0</v>
      </c>
      <c r="AT30">
        <v>381</v>
      </c>
      <c r="AU30">
        <v>0</v>
      </c>
      <c r="BB30" s="3" t="s">
        <v>287</v>
      </c>
      <c r="BC30" s="4">
        <v>741836</v>
      </c>
      <c r="BD30" s="4">
        <v>9.1999999999999993</v>
      </c>
      <c r="BE30" s="4">
        <v>2</v>
      </c>
      <c r="BF30" s="3" t="s">
        <v>19</v>
      </c>
      <c r="BG30" s="4">
        <v>1</v>
      </c>
      <c r="BH30" s="3" t="s">
        <v>19</v>
      </c>
      <c r="BI30" s="4">
        <v>9.1999999999999993</v>
      </c>
      <c r="BM30">
        <v>381</v>
      </c>
      <c r="BN30">
        <v>0</v>
      </c>
      <c r="BO30">
        <v>0</v>
      </c>
    </row>
    <row r="31" spans="1:67" ht="30.75" thickBot="1" x14ac:dyDescent="0.3">
      <c r="T31" s="3" t="s">
        <v>288</v>
      </c>
      <c r="U31" s="4">
        <v>741821</v>
      </c>
      <c r="V31" s="4">
        <v>10.199999999999999</v>
      </c>
      <c r="W31" s="4">
        <v>2</v>
      </c>
      <c r="X31" s="3" t="s">
        <v>19</v>
      </c>
      <c r="Y31" s="4">
        <v>1</v>
      </c>
      <c r="Z31" s="3" t="s">
        <v>19</v>
      </c>
      <c r="AA31" s="4">
        <v>10.199999999999999</v>
      </c>
      <c r="AB31">
        <f t="shared" si="3"/>
        <v>0</v>
      </c>
      <c r="AC31">
        <f t="shared" si="4"/>
        <v>235.5</v>
      </c>
      <c r="AD31">
        <f t="shared" si="5"/>
        <v>82.5</v>
      </c>
      <c r="AH31" s="3" t="s">
        <v>288</v>
      </c>
      <c r="AI31" s="4">
        <v>741821</v>
      </c>
      <c r="AJ31" s="4">
        <v>10.199999999999999</v>
      </c>
      <c r="AK31" s="4">
        <v>2</v>
      </c>
      <c r="AL31" s="3" t="s">
        <v>19</v>
      </c>
      <c r="AM31" s="4">
        <v>1</v>
      </c>
      <c r="AN31" s="3" t="s">
        <v>19</v>
      </c>
      <c r="AO31" s="4">
        <v>10.199999999999999</v>
      </c>
      <c r="AS31">
        <v>0</v>
      </c>
      <c r="AT31">
        <v>235.5</v>
      </c>
      <c r="AU31">
        <v>82.5</v>
      </c>
      <c r="BB31" s="3" t="s">
        <v>288</v>
      </c>
      <c r="BC31" s="4">
        <v>741821</v>
      </c>
      <c r="BD31" s="4">
        <v>10.199999999999999</v>
      </c>
      <c r="BE31" s="4">
        <v>2</v>
      </c>
      <c r="BF31" s="3" t="s">
        <v>19</v>
      </c>
      <c r="BG31" s="4">
        <v>1</v>
      </c>
      <c r="BH31" s="3" t="s">
        <v>19</v>
      </c>
      <c r="BI31" s="4">
        <v>10.199999999999999</v>
      </c>
      <c r="BM31">
        <v>235.5</v>
      </c>
      <c r="BN31">
        <v>82.5</v>
      </c>
      <c r="BO31">
        <v>0</v>
      </c>
    </row>
    <row r="32" spans="1:67" ht="30.75" thickBot="1" x14ac:dyDescent="0.3">
      <c r="T32" s="3" t="s">
        <v>289</v>
      </c>
      <c r="U32" s="4">
        <v>741799</v>
      </c>
      <c r="V32" s="4">
        <v>11.1</v>
      </c>
      <c r="W32" s="4">
        <v>2</v>
      </c>
      <c r="X32" s="3" t="s">
        <v>19</v>
      </c>
      <c r="Y32" s="4">
        <v>1</v>
      </c>
      <c r="Z32" s="3" t="s">
        <v>19</v>
      </c>
      <c r="AA32" s="4">
        <v>11.1</v>
      </c>
      <c r="AB32">
        <f t="shared" si="3"/>
        <v>8</v>
      </c>
      <c r="AC32">
        <f t="shared" si="4"/>
        <v>323.5</v>
      </c>
      <c r="AD32">
        <f t="shared" si="5"/>
        <v>0</v>
      </c>
      <c r="AH32" s="3" t="s">
        <v>289</v>
      </c>
      <c r="AI32" s="4">
        <v>741799</v>
      </c>
      <c r="AJ32" s="4">
        <v>11.1</v>
      </c>
      <c r="AK32" s="4">
        <v>2</v>
      </c>
      <c r="AL32" s="3" t="s">
        <v>19</v>
      </c>
      <c r="AM32" s="4">
        <v>1</v>
      </c>
      <c r="AN32" s="3" t="s">
        <v>19</v>
      </c>
      <c r="AO32" s="4">
        <v>11.1</v>
      </c>
      <c r="AS32">
        <v>8</v>
      </c>
      <c r="AT32">
        <v>323.5</v>
      </c>
      <c r="AU32">
        <v>0</v>
      </c>
      <c r="BB32" s="3" t="s">
        <v>289</v>
      </c>
      <c r="BC32" s="4">
        <v>741799</v>
      </c>
      <c r="BD32" s="4">
        <v>11.1</v>
      </c>
      <c r="BE32" s="4">
        <v>2</v>
      </c>
      <c r="BF32" s="3" t="s">
        <v>19</v>
      </c>
      <c r="BG32" s="4">
        <v>1</v>
      </c>
      <c r="BH32" s="3" t="s">
        <v>19</v>
      </c>
      <c r="BI32" s="4">
        <v>11.1</v>
      </c>
      <c r="BM32">
        <v>323.5</v>
      </c>
      <c r="BN32">
        <v>0</v>
      </c>
      <c r="BO32">
        <v>8</v>
      </c>
    </row>
    <row r="33" spans="20:70" ht="30.75" thickBot="1" x14ac:dyDescent="0.3">
      <c r="T33" s="3" t="s">
        <v>290</v>
      </c>
      <c r="U33" s="4">
        <v>741811</v>
      </c>
      <c r="V33" s="4">
        <v>12.1</v>
      </c>
      <c r="W33" s="4">
        <v>2</v>
      </c>
      <c r="X33" s="3" t="s">
        <v>19</v>
      </c>
      <c r="Y33" s="4">
        <v>1</v>
      </c>
      <c r="Z33" s="3" t="s">
        <v>19</v>
      </c>
      <c r="AA33" s="4">
        <v>12.1</v>
      </c>
      <c r="AB33">
        <f t="shared" si="3"/>
        <v>12.5</v>
      </c>
      <c r="AC33">
        <f t="shared" si="4"/>
        <v>289.5</v>
      </c>
      <c r="AD33">
        <f t="shared" si="5"/>
        <v>46.5</v>
      </c>
      <c r="AH33" s="3" t="s">
        <v>290</v>
      </c>
      <c r="AI33" s="4">
        <v>741811</v>
      </c>
      <c r="AJ33" s="4">
        <v>12.1</v>
      </c>
      <c r="AK33" s="4">
        <v>2</v>
      </c>
      <c r="AL33" s="3" t="s">
        <v>19</v>
      </c>
      <c r="AM33" s="4">
        <v>1</v>
      </c>
      <c r="AN33" s="3" t="s">
        <v>19</v>
      </c>
      <c r="AO33" s="4">
        <v>12.1</v>
      </c>
      <c r="AS33">
        <v>12.5</v>
      </c>
      <c r="AT33">
        <v>289.5</v>
      </c>
      <c r="AU33">
        <v>46.5</v>
      </c>
      <c r="BB33" s="3" t="s">
        <v>290</v>
      </c>
      <c r="BC33" s="4">
        <v>741811</v>
      </c>
      <c r="BD33" s="4">
        <v>12.1</v>
      </c>
      <c r="BE33" s="4">
        <v>2</v>
      </c>
      <c r="BF33" s="3" t="s">
        <v>19</v>
      </c>
      <c r="BG33" s="4">
        <v>1</v>
      </c>
      <c r="BH33" s="3" t="s">
        <v>19</v>
      </c>
      <c r="BI33" s="4">
        <v>12.1</v>
      </c>
      <c r="BM33">
        <v>289.5</v>
      </c>
      <c r="BN33">
        <v>46.5</v>
      </c>
      <c r="BO33">
        <v>12.5</v>
      </c>
    </row>
    <row r="34" spans="20:70" ht="30.75" thickBot="1" x14ac:dyDescent="0.3">
      <c r="T34" s="3" t="s">
        <v>291</v>
      </c>
      <c r="U34" s="4">
        <v>741847</v>
      </c>
      <c r="V34" s="4">
        <v>13.1</v>
      </c>
      <c r="W34" s="4">
        <v>2</v>
      </c>
      <c r="X34" s="3" t="s">
        <v>19</v>
      </c>
      <c r="Y34" s="4">
        <v>1</v>
      </c>
      <c r="Z34" s="3" t="s">
        <v>19</v>
      </c>
      <c r="AA34" s="4">
        <v>13.1</v>
      </c>
      <c r="AB34">
        <f t="shared" si="3"/>
        <v>37.5</v>
      </c>
      <c r="AC34">
        <f t="shared" si="4"/>
        <v>0</v>
      </c>
      <c r="AD34">
        <f t="shared" si="5"/>
        <v>199</v>
      </c>
      <c r="AH34" s="3" t="s">
        <v>291</v>
      </c>
      <c r="AI34" s="4">
        <v>741847</v>
      </c>
      <c r="AJ34" s="4">
        <v>13.1</v>
      </c>
      <c r="AK34" s="4">
        <v>2</v>
      </c>
      <c r="AL34" s="3" t="s">
        <v>19</v>
      </c>
      <c r="AM34" s="4">
        <v>1</v>
      </c>
      <c r="AN34" s="3" t="s">
        <v>19</v>
      </c>
      <c r="AO34" s="4">
        <v>13.1</v>
      </c>
      <c r="AS34">
        <v>37.5</v>
      </c>
      <c r="AT34">
        <v>0</v>
      </c>
      <c r="AU34">
        <v>199</v>
      </c>
      <c r="BB34" s="3" t="s">
        <v>291</v>
      </c>
      <c r="BC34" s="4">
        <v>741847</v>
      </c>
      <c r="BD34" s="4">
        <v>13.1</v>
      </c>
      <c r="BE34" s="4">
        <v>2</v>
      </c>
      <c r="BF34" s="3" t="s">
        <v>19</v>
      </c>
      <c r="BG34" s="4">
        <v>1</v>
      </c>
      <c r="BH34" s="3" t="s">
        <v>19</v>
      </c>
      <c r="BI34" s="4">
        <v>13.1</v>
      </c>
      <c r="BM34">
        <v>0</v>
      </c>
      <c r="BN34">
        <v>199</v>
      </c>
      <c r="BO34">
        <v>37.5</v>
      </c>
    </row>
    <row r="35" spans="20:70" ht="30.75" thickBot="1" x14ac:dyDescent="0.3">
      <c r="T35" s="3" t="s">
        <v>292</v>
      </c>
      <c r="U35" s="4">
        <v>741832</v>
      </c>
      <c r="V35" s="4">
        <v>14.1</v>
      </c>
      <c r="W35" s="4">
        <v>2</v>
      </c>
      <c r="X35" s="3" t="s">
        <v>19</v>
      </c>
      <c r="Y35" s="4">
        <v>1</v>
      </c>
      <c r="Z35" s="3" t="s">
        <v>19</v>
      </c>
      <c r="AA35" s="4">
        <v>14.1</v>
      </c>
      <c r="AB35">
        <f t="shared" si="3"/>
        <v>11.5</v>
      </c>
      <c r="AC35">
        <f t="shared" si="4"/>
        <v>163.5</v>
      </c>
      <c r="AD35">
        <f t="shared" si="5"/>
        <v>152.5</v>
      </c>
      <c r="AH35" s="3" t="s">
        <v>292</v>
      </c>
      <c r="AI35" s="4">
        <v>741832</v>
      </c>
      <c r="AJ35" s="4">
        <v>14.1</v>
      </c>
      <c r="AK35" s="4">
        <v>2</v>
      </c>
      <c r="AL35" s="3" t="s">
        <v>19</v>
      </c>
      <c r="AM35" s="4">
        <v>1</v>
      </c>
      <c r="AN35" s="3" t="s">
        <v>19</v>
      </c>
      <c r="AO35" s="4">
        <v>14.1</v>
      </c>
      <c r="AS35">
        <v>11.5</v>
      </c>
      <c r="AT35">
        <v>163.5</v>
      </c>
      <c r="AU35">
        <v>152.5</v>
      </c>
      <c r="BB35" s="3" t="s">
        <v>292</v>
      </c>
      <c r="BC35" s="4">
        <v>741832</v>
      </c>
      <c r="BD35" s="4">
        <v>14.1</v>
      </c>
      <c r="BE35" s="4">
        <v>2</v>
      </c>
      <c r="BF35" s="3" t="s">
        <v>19</v>
      </c>
      <c r="BG35" s="4">
        <v>1</v>
      </c>
      <c r="BH35" s="3" t="s">
        <v>19</v>
      </c>
      <c r="BI35" s="4">
        <v>14.1</v>
      </c>
      <c r="BM35">
        <v>163.5</v>
      </c>
      <c r="BN35">
        <v>152.5</v>
      </c>
      <c r="BO35">
        <v>11.5</v>
      </c>
    </row>
    <row r="36" spans="20:70" ht="30.75" thickBot="1" x14ac:dyDescent="0.3">
      <c r="T36" s="3" t="s">
        <v>293</v>
      </c>
      <c r="U36" s="4">
        <v>741846</v>
      </c>
      <c r="V36" s="4">
        <v>15.3</v>
      </c>
      <c r="W36" s="4">
        <v>2</v>
      </c>
      <c r="X36" s="3" t="s">
        <v>19</v>
      </c>
      <c r="Y36" s="4">
        <v>1</v>
      </c>
      <c r="Z36" s="3" t="s">
        <v>19</v>
      </c>
      <c r="AA36" s="4">
        <v>15.3</v>
      </c>
      <c r="AB36">
        <f t="shared" si="3"/>
        <v>0</v>
      </c>
      <c r="AC36">
        <f t="shared" si="4"/>
        <v>347.5</v>
      </c>
      <c r="AD36">
        <f t="shared" si="5"/>
        <v>0</v>
      </c>
      <c r="AH36" s="3" t="s">
        <v>293</v>
      </c>
      <c r="AI36" s="4">
        <v>741846</v>
      </c>
      <c r="AJ36" s="4">
        <v>15.3</v>
      </c>
      <c r="AK36" s="4">
        <v>2</v>
      </c>
      <c r="AL36" s="3" t="s">
        <v>19</v>
      </c>
      <c r="AM36" s="4">
        <v>1</v>
      </c>
      <c r="AN36" s="3" t="s">
        <v>19</v>
      </c>
      <c r="AO36" s="4">
        <v>15.3</v>
      </c>
      <c r="AS36">
        <v>0</v>
      </c>
      <c r="AT36">
        <v>347.5</v>
      </c>
      <c r="AU36">
        <v>0</v>
      </c>
      <c r="BB36" s="3" t="s">
        <v>293</v>
      </c>
      <c r="BC36" s="4">
        <v>741846</v>
      </c>
      <c r="BD36" s="4">
        <v>15.3</v>
      </c>
      <c r="BE36" s="4">
        <v>2</v>
      </c>
      <c r="BF36" s="3" t="s">
        <v>19</v>
      </c>
      <c r="BG36" s="4">
        <v>1</v>
      </c>
      <c r="BH36" s="3" t="s">
        <v>19</v>
      </c>
      <c r="BI36" s="4">
        <v>15.3</v>
      </c>
      <c r="BM36">
        <v>347.5</v>
      </c>
      <c r="BN36">
        <v>0</v>
      </c>
      <c r="BO36">
        <v>0</v>
      </c>
    </row>
    <row r="37" spans="20:70" ht="30.75" thickBot="1" x14ac:dyDescent="0.3">
      <c r="T37" s="3" t="s">
        <v>294</v>
      </c>
      <c r="U37" s="4">
        <v>741817</v>
      </c>
      <c r="V37" s="4">
        <v>16.100000000000001</v>
      </c>
      <c r="W37" s="4">
        <v>2</v>
      </c>
      <c r="X37" s="3" t="s">
        <v>19</v>
      </c>
      <c r="Y37" s="4">
        <v>1</v>
      </c>
      <c r="Z37" s="3" t="s">
        <v>19</v>
      </c>
      <c r="AA37" s="4">
        <v>16.100000000000001</v>
      </c>
      <c r="AB37">
        <f t="shared" si="3"/>
        <v>3.5</v>
      </c>
      <c r="AC37">
        <f t="shared" si="4"/>
        <v>257.5</v>
      </c>
      <c r="AD37">
        <f t="shared" si="5"/>
        <v>64</v>
      </c>
      <c r="AH37" s="3" t="s">
        <v>294</v>
      </c>
      <c r="AI37" s="4">
        <v>741817</v>
      </c>
      <c r="AJ37" s="4">
        <v>16.100000000000001</v>
      </c>
      <c r="AK37" s="4">
        <v>2</v>
      </c>
      <c r="AL37" s="3" t="s">
        <v>19</v>
      </c>
      <c r="AM37" s="4">
        <v>1</v>
      </c>
      <c r="AN37" s="3" t="s">
        <v>19</v>
      </c>
      <c r="AO37" s="4">
        <v>16.100000000000001</v>
      </c>
      <c r="AS37">
        <v>3.5</v>
      </c>
      <c r="AT37">
        <v>257.5</v>
      </c>
      <c r="AU37">
        <v>64</v>
      </c>
      <c r="BB37" s="3" t="s">
        <v>294</v>
      </c>
      <c r="BC37" s="4">
        <v>741817</v>
      </c>
      <c r="BD37" s="4">
        <v>16.100000000000001</v>
      </c>
      <c r="BE37" s="4">
        <v>2</v>
      </c>
      <c r="BF37" s="3" t="s">
        <v>19</v>
      </c>
      <c r="BG37" s="4">
        <v>1</v>
      </c>
      <c r="BH37" s="3" t="s">
        <v>19</v>
      </c>
      <c r="BI37" s="4">
        <v>16.100000000000001</v>
      </c>
      <c r="BM37">
        <v>257.5</v>
      </c>
      <c r="BN37">
        <v>64</v>
      </c>
      <c r="BO37">
        <v>3.5</v>
      </c>
    </row>
    <row r="38" spans="20:70" ht="30.75" thickBot="1" x14ac:dyDescent="0.3">
      <c r="T38" s="3" t="s">
        <v>295</v>
      </c>
      <c r="U38" s="4">
        <v>741843</v>
      </c>
      <c r="V38" s="4">
        <v>17.3</v>
      </c>
      <c r="W38" s="4">
        <v>2</v>
      </c>
      <c r="X38" s="3" t="s">
        <v>19</v>
      </c>
      <c r="Y38" s="4">
        <v>1</v>
      </c>
      <c r="Z38" s="3" t="s">
        <v>19</v>
      </c>
      <c r="AA38" s="4">
        <v>17.3</v>
      </c>
      <c r="AB38">
        <f t="shared" si="3"/>
        <v>26.5</v>
      </c>
      <c r="AC38">
        <f t="shared" si="4"/>
        <v>0</v>
      </c>
      <c r="AD38">
        <f t="shared" si="5"/>
        <v>246.5</v>
      </c>
      <c r="AH38" s="3" t="s">
        <v>295</v>
      </c>
      <c r="AI38" s="4">
        <v>741843</v>
      </c>
      <c r="AJ38" s="4">
        <v>17.3</v>
      </c>
      <c r="AK38" s="4">
        <v>2</v>
      </c>
      <c r="AL38" s="3" t="s">
        <v>19</v>
      </c>
      <c r="AM38" s="4">
        <v>1</v>
      </c>
      <c r="AN38" s="3" t="s">
        <v>19</v>
      </c>
      <c r="AO38" s="4">
        <v>17.3</v>
      </c>
      <c r="AS38">
        <v>26.5</v>
      </c>
      <c r="AT38">
        <v>0</v>
      </c>
      <c r="AU38">
        <v>246.5</v>
      </c>
      <c r="BB38" s="3" t="s">
        <v>295</v>
      </c>
      <c r="BC38" s="4">
        <v>741843</v>
      </c>
      <c r="BD38" s="4">
        <v>17.3</v>
      </c>
      <c r="BE38" s="4">
        <v>2</v>
      </c>
      <c r="BF38" s="3" t="s">
        <v>19</v>
      </c>
      <c r="BG38" s="4">
        <v>1</v>
      </c>
      <c r="BH38" s="3" t="s">
        <v>19</v>
      </c>
      <c r="BI38" s="4">
        <v>17.3</v>
      </c>
      <c r="BM38">
        <v>0</v>
      </c>
      <c r="BN38">
        <v>246.5</v>
      </c>
      <c r="BO38">
        <v>26.5</v>
      </c>
    </row>
    <row r="39" spans="20:70" ht="30.75" thickBot="1" x14ac:dyDescent="0.3">
      <c r="T39" s="3" t="s">
        <v>296</v>
      </c>
      <c r="U39" s="4">
        <v>741816</v>
      </c>
      <c r="V39" s="4">
        <v>18.3</v>
      </c>
      <c r="W39" s="4">
        <v>2</v>
      </c>
      <c r="X39" s="3" t="s">
        <v>19</v>
      </c>
      <c r="Y39" s="4">
        <v>1</v>
      </c>
      <c r="Z39" s="3" t="s">
        <v>19</v>
      </c>
      <c r="AA39" s="4">
        <v>18.3</v>
      </c>
      <c r="AB39">
        <f t="shared" si="3"/>
        <v>7.5</v>
      </c>
      <c r="AC39">
        <f t="shared" si="4"/>
        <v>231.5</v>
      </c>
      <c r="AD39">
        <f t="shared" si="5"/>
        <v>117</v>
      </c>
      <c r="AH39" s="3" t="s">
        <v>296</v>
      </c>
      <c r="AI39" s="4">
        <v>741816</v>
      </c>
      <c r="AJ39" s="4">
        <v>18.3</v>
      </c>
      <c r="AK39" s="4">
        <v>2</v>
      </c>
      <c r="AL39" s="3" t="s">
        <v>19</v>
      </c>
      <c r="AM39" s="4">
        <v>1</v>
      </c>
      <c r="AN39" s="3" t="s">
        <v>19</v>
      </c>
      <c r="AO39" s="4">
        <v>18.3</v>
      </c>
      <c r="AS39">
        <v>7.5</v>
      </c>
      <c r="AT39">
        <v>231.5</v>
      </c>
      <c r="AU39">
        <v>117</v>
      </c>
      <c r="BB39" s="3" t="s">
        <v>296</v>
      </c>
      <c r="BC39" s="4">
        <v>741816</v>
      </c>
      <c r="BD39" s="4">
        <v>18.3</v>
      </c>
      <c r="BE39" s="4">
        <v>2</v>
      </c>
      <c r="BF39" s="3" t="s">
        <v>19</v>
      </c>
      <c r="BG39" s="4">
        <v>1</v>
      </c>
      <c r="BH39" s="3" t="s">
        <v>19</v>
      </c>
      <c r="BI39" s="4">
        <v>18.3</v>
      </c>
      <c r="BM39">
        <v>231.5</v>
      </c>
      <c r="BN39">
        <v>117</v>
      </c>
      <c r="BO39">
        <v>7.5</v>
      </c>
    </row>
    <row r="40" spans="20:70" ht="30.75" thickBot="1" x14ac:dyDescent="0.3">
      <c r="T40" s="3" t="s">
        <v>297</v>
      </c>
      <c r="U40" s="4">
        <v>741850</v>
      </c>
      <c r="V40" s="4">
        <v>19.100000000000001</v>
      </c>
      <c r="W40" s="4">
        <v>2</v>
      </c>
      <c r="X40" s="3" t="s">
        <v>19</v>
      </c>
      <c r="Y40" s="4">
        <v>1</v>
      </c>
      <c r="Z40" s="3" t="s">
        <v>19</v>
      </c>
      <c r="AA40" s="4">
        <v>19.100000000000001</v>
      </c>
      <c r="AB40">
        <f t="shared" si="3"/>
        <v>57</v>
      </c>
      <c r="AC40">
        <f t="shared" si="4"/>
        <v>0</v>
      </c>
      <c r="AD40">
        <f t="shared" si="5"/>
        <v>210</v>
      </c>
      <c r="AH40" s="3" t="s">
        <v>297</v>
      </c>
      <c r="AI40" s="4">
        <v>741850</v>
      </c>
      <c r="AJ40" s="4">
        <v>19.100000000000001</v>
      </c>
      <c r="AK40" s="4">
        <v>2</v>
      </c>
      <c r="AL40" s="3" t="s">
        <v>19</v>
      </c>
      <c r="AM40" s="4">
        <v>1</v>
      </c>
      <c r="AN40" s="3" t="s">
        <v>19</v>
      </c>
      <c r="AO40" s="4">
        <v>19.100000000000001</v>
      </c>
      <c r="AS40">
        <v>57</v>
      </c>
      <c r="AT40">
        <v>0</v>
      </c>
      <c r="AU40">
        <v>210</v>
      </c>
      <c r="BB40" s="3" t="s">
        <v>297</v>
      </c>
      <c r="BC40" s="4">
        <v>741850</v>
      </c>
      <c r="BD40" s="4">
        <v>19.100000000000001</v>
      </c>
      <c r="BE40" s="4">
        <v>2</v>
      </c>
      <c r="BF40" s="3" t="s">
        <v>19</v>
      </c>
      <c r="BG40" s="4">
        <v>1</v>
      </c>
      <c r="BH40" s="3" t="s">
        <v>19</v>
      </c>
      <c r="BI40" s="4">
        <v>19.100000000000001</v>
      </c>
      <c r="BM40">
        <v>0</v>
      </c>
      <c r="BN40">
        <v>210</v>
      </c>
      <c r="BO40">
        <v>57</v>
      </c>
    </row>
    <row r="41" spans="20:70" ht="30.75" thickBot="1" x14ac:dyDescent="0.3">
      <c r="T41" s="3" t="s">
        <v>298</v>
      </c>
      <c r="U41" s="4">
        <v>741829</v>
      </c>
      <c r="V41" s="4">
        <v>20.100000000000001</v>
      </c>
      <c r="W41" s="4">
        <v>2</v>
      </c>
      <c r="X41" s="3" t="s">
        <v>19</v>
      </c>
      <c r="Y41" s="4">
        <v>1</v>
      </c>
      <c r="Z41" s="3" t="s">
        <v>19</v>
      </c>
      <c r="AA41" s="4">
        <v>20.100000000000001</v>
      </c>
      <c r="AB41">
        <f t="shared" si="3"/>
        <v>25</v>
      </c>
      <c r="AC41">
        <f t="shared" si="4"/>
        <v>315</v>
      </c>
      <c r="AD41">
        <f t="shared" si="5"/>
        <v>77.5</v>
      </c>
      <c r="AH41" s="3" t="s">
        <v>298</v>
      </c>
      <c r="AI41" s="4">
        <v>741829</v>
      </c>
      <c r="AJ41" s="4">
        <v>20.100000000000001</v>
      </c>
      <c r="AK41" s="4">
        <v>2</v>
      </c>
      <c r="AL41" s="3" t="s">
        <v>19</v>
      </c>
      <c r="AM41" s="4">
        <v>1</v>
      </c>
      <c r="AN41" s="3" t="s">
        <v>19</v>
      </c>
      <c r="AO41" s="4">
        <v>20.100000000000001</v>
      </c>
      <c r="AS41">
        <v>25</v>
      </c>
      <c r="AT41">
        <v>315</v>
      </c>
      <c r="AU41">
        <v>77.5</v>
      </c>
      <c r="BB41" s="3" t="s">
        <v>298</v>
      </c>
      <c r="BC41" s="4">
        <v>741829</v>
      </c>
      <c r="BD41" s="4">
        <v>20.100000000000001</v>
      </c>
      <c r="BE41" s="4">
        <v>2</v>
      </c>
      <c r="BF41" s="3" t="s">
        <v>19</v>
      </c>
      <c r="BG41" s="4">
        <v>1</v>
      </c>
      <c r="BH41" s="3" t="s">
        <v>19</v>
      </c>
      <c r="BI41" s="4">
        <v>20.100000000000001</v>
      </c>
      <c r="BM41">
        <v>315</v>
      </c>
      <c r="BN41">
        <v>77.5</v>
      </c>
      <c r="BO41">
        <v>25</v>
      </c>
    </row>
    <row r="42" spans="20:70" ht="30.75" thickBot="1" x14ac:dyDescent="0.3">
      <c r="T42" s="3" t="s">
        <v>299</v>
      </c>
      <c r="U42" s="4">
        <v>741825</v>
      </c>
      <c r="V42" s="4">
        <v>1.3</v>
      </c>
      <c r="W42" s="4">
        <v>3</v>
      </c>
      <c r="X42" s="3" t="s">
        <v>19</v>
      </c>
      <c r="Y42" s="3" t="s">
        <v>19</v>
      </c>
      <c r="Z42" s="4">
        <v>1</v>
      </c>
      <c r="AA42" s="14">
        <v>1.3</v>
      </c>
      <c r="AB42" s="12">
        <v>13</v>
      </c>
      <c r="AC42" s="12">
        <v>421</v>
      </c>
      <c r="AD42" s="13"/>
      <c r="AH42" s="3" t="s">
        <v>299</v>
      </c>
      <c r="AI42" s="4">
        <v>741825</v>
      </c>
      <c r="AJ42" s="4">
        <v>1.3</v>
      </c>
      <c r="AK42" s="4">
        <v>3</v>
      </c>
      <c r="AL42" s="3" t="s">
        <v>19</v>
      </c>
      <c r="AM42" s="3" t="s">
        <v>19</v>
      </c>
      <c r="AN42" s="4">
        <v>1</v>
      </c>
      <c r="AO42" s="14">
        <v>1.3</v>
      </c>
      <c r="AV42" s="12">
        <v>13</v>
      </c>
      <c r="AW42" s="12">
        <v>421</v>
      </c>
      <c r="AX42" s="13">
        <v>0</v>
      </c>
      <c r="BB42" s="3" t="s">
        <v>299</v>
      </c>
      <c r="BC42" s="4">
        <v>741825</v>
      </c>
      <c r="BD42" s="4">
        <v>1.3</v>
      </c>
      <c r="BE42" s="4">
        <v>3</v>
      </c>
      <c r="BF42" s="3" t="s">
        <v>19</v>
      </c>
      <c r="BG42" s="3" t="s">
        <v>19</v>
      </c>
      <c r="BH42" s="4">
        <v>1</v>
      </c>
      <c r="BI42" s="14">
        <v>1.3</v>
      </c>
      <c r="BP42" s="12">
        <v>421</v>
      </c>
      <c r="BQ42" s="13">
        <v>0</v>
      </c>
      <c r="BR42" s="12">
        <v>13</v>
      </c>
    </row>
    <row r="43" spans="20:70" ht="30.75" thickBot="1" x14ac:dyDescent="0.3">
      <c r="T43" s="3" t="s">
        <v>300</v>
      </c>
      <c r="U43" s="4">
        <v>741826</v>
      </c>
      <c r="V43" s="4">
        <v>2.1</v>
      </c>
      <c r="W43" s="4">
        <v>3</v>
      </c>
      <c r="X43" s="3" t="s">
        <v>19</v>
      </c>
      <c r="Y43" s="3" t="s">
        <v>19</v>
      </c>
      <c r="Z43" s="4">
        <v>1</v>
      </c>
      <c r="AA43" s="14">
        <v>2.1</v>
      </c>
      <c r="AB43" s="12">
        <v>50</v>
      </c>
      <c r="AC43" s="12">
        <v>178</v>
      </c>
      <c r="AD43" s="12">
        <v>82.5</v>
      </c>
      <c r="AH43" s="3" t="s">
        <v>300</v>
      </c>
      <c r="AI43" s="4">
        <v>741826</v>
      </c>
      <c r="AJ43" s="4">
        <v>2.1</v>
      </c>
      <c r="AK43" s="4">
        <v>3</v>
      </c>
      <c r="AL43" s="3" t="s">
        <v>19</v>
      </c>
      <c r="AM43" s="3" t="s">
        <v>19</v>
      </c>
      <c r="AN43" s="4">
        <v>1</v>
      </c>
      <c r="AO43" s="14">
        <v>2.1</v>
      </c>
      <c r="AV43" s="12">
        <v>50</v>
      </c>
      <c r="AW43" s="12">
        <v>178</v>
      </c>
      <c r="AX43" s="12">
        <v>82.5</v>
      </c>
      <c r="BB43" s="3" t="s">
        <v>300</v>
      </c>
      <c r="BC43" s="4">
        <v>741826</v>
      </c>
      <c r="BD43" s="4">
        <v>2.1</v>
      </c>
      <c r="BE43" s="4">
        <v>3</v>
      </c>
      <c r="BF43" s="3" t="s">
        <v>19</v>
      </c>
      <c r="BG43" s="3" t="s">
        <v>19</v>
      </c>
      <c r="BH43" s="4">
        <v>1</v>
      </c>
      <c r="BI43" s="14">
        <v>2.1</v>
      </c>
      <c r="BP43" s="12">
        <v>178</v>
      </c>
      <c r="BQ43" s="12">
        <v>82.5</v>
      </c>
      <c r="BR43" s="12">
        <v>50</v>
      </c>
    </row>
    <row r="44" spans="20:70" ht="30.75" thickBot="1" x14ac:dyDescent="0.3">
      <c r="T44" s="3" t="s">
        <v>301</v>
      </c>
      <c r="U44" s="4">
        <v>741798</v>
      </c>
      <c r="V44" s="4">
        <v>3.3</v>
      </c>
      <c r="W44" s="4">
        <v>3</v>
      </c>
      <c r="X44" s="3" t="s">
        <v>19</v>
      </c>
      <c r="Y44" s="3" t="s">
        <v>19</v>
      </c>
      <c r="Z44" s="4">
        <v>1</v>
      </c>
      <c r="AA44" s="14">
        <v>3.3</v>
      </c>
      <c r="AB44" s="12">
        <v>153</v>
      </c>
      <c r="AC44" s="13"/>
      <c r="AD44" s="12">
        <v>291.5</v>
      </c>
      <c r="AH44" s="3" t="s">
        <v>301</v>
      </c>
      <c r="AI44" s="4">
        <v>741798</v>
      </c>
      <c r="AJ44" s="4">
        <v>3.3</v>
      </c>
      <c r="AK44" s="4">
        <v>3</v>
      </c>
      <c r="AL44" s="3" t="s">
        <v>19</v>
      </c>
      <c r="AM44" s="3" t="s">
        <v>19</v>
      </c>
      <c r="AN44" s="4">
        <v>1</v>
      </c>
      <c r="AO44" s="14">
        <v>3.3</v>
      </c>
      <c r="AV44" s="12">
        <v>153</v>
      </c>
      <c r="AW44" s="13">
        <v>0</v>
      </c>
      <c r="AX44" s="12">
        <v>291.5</v>
      </c>
      <c r="BB44" s="3" t="s">
        <v>301</v>
      </c>
      <c r="BC44" s="4">
        <v>741798</v>
      </c>
      <c r="BD44" s="4">
        <v>3.3</v>
      </c>
      <c r="BE44" s="4">
        <v>3</v>
      </c>
      <c r="BF44" s="3" t="s">
        <v>19</v>
      </c>
      <c r="BG44" s="3" t="s">
        <v>19</v>
      </c>
      <c r="BH44" s="4">
        <v>1</v>
      </c>
      <c r="BI44" s="14">
        <v>3.3</v>
      </c>
      <c r="BP44" s="13">
        <v>0</v>
      </c>
      <c r="BQ44" s="12">
        <v>291.5</v>
      </c>
      <c r="BR44" s="12">
        <v>153</v>
      </c>
    </row>
    <row r="45" spans="20:70" ht="30.75" thickBot="1" x14ac:dyDescent="0.3">
      <c r="T45" s="3" t="s">
        <v>302</v>
      </c>
      <c r="U45" s="4">
        <v>741806</v>
      </c>
      <c r="V45" s="4">
        <v>4.2</v>
      </c>
      <c r="W45" s="4">
        <v>3</v>
      </c>
      <c r="X45" s="3" t="s">
        <v>19</v>
      </c>
      <c r="Y45" s="3" t="s">
        <v>19</v>
      </c>
      <c r="Z45" s="4">
        <v>1</v>
      </c>
      <c r="AA45" s="14">
        <v>4.2</v>
      </c>
      <c r="AB45" s="12">
        <v>60</v>
      </c>
      <c r="AC45" s="12">
        <v>280.5</v>
      </c>
      <c r="AD45" s="12">
        <v>33.5</v>
      </c>
      <c r="AH45" s="3" t="s">
        <v>302</v>
      </c>
      <c r="AI45" s="4">
        <v>741806</v>
      </c>
      <c r="AJ45" s="4">
        <v>4.2</v>
      </c>
      <c r="AK45" s="4">
        <v>3</v>
      </c>
      <c r="AL45" s="3" t="s">
        <v>19</v>
      </c>
      <c r="AM45" s="3" t="s">
        <v>19</v>
      </c>
      <c r="AN45" s="4">
        <v>1</v>
      </c>
      <c r="AO45" s="14">
        <v>4.2</v>
      </c>
      <c r="AV45" s="12">
        <v>60</v>
      </c>
      <c r="AW45" s="12">
        <v>280.5</v>
      </c>
      <c r="AX45" s="12">
        <v>33.5</v>
      </c>
      <c r="BB45" s="3" t="s">
        <v>302</v>
      </c>
      <c r="BC45" s="4">
        <v>741806</v>
      </c>
      <c r="BD45" s="4">
        <v>4.2</v>
      </c>
      <c r="BE45" s="4">
        <v>3</v>
      </c>
      <c r="BF45" s="3" t="s">
        <v>19</v>
      </c>
      <c r="BG45" s="3" t="s">
        <v>19</v>
      </c>
      <c r="BH45" s="4">
        <v>1</v>
      </c>
      <c r="BI45" s="14">
        <v>4.2</v>
      </c>
      <c r="BP45" s="12">
        <v>280.5</v>
      </c>
      <c r="BQ45" s="12">
        <v>33.5</v>
      </c>
      <c r="BR45" s="12">
        <v>60</v>
      </c>
    </row>
    <row r="46" spans="20:70" ht="30.75" thickBot="1" x14ac:dyDescent="0.3">
      <c r="T46" s="3" t="s">
        <v>303</v>
      </c>
      <c r="U46" s="4">
        <v>741803</v>
      </c>
      <c r="V46" s="4">
        <v>5.2</v>
      </c>
      <c r="W46" s="4">
        <v>3</v>
      </c>
      <c r="X46" s="3" t="s">
        <v>19</v>
      </c>
      <c r="Y46" s="3" t="s">
        <v>19</v>
      </c>
      <c r="Z46" s="4">
        <v>1</v>
      </c>
      <c r="AA46" s="14">
        <v>5.2</v>
      </c>
      <c r="AB46" s="12">
        <v>48</v>
      </c>
      <c r="AC46" s="12">
        <v>404.5</v>
      </c>
      <c r="AD46" s="13"/>
      <c r="AH46" s="3" t="s">
        <v>303</v>
      </c>
      <c r="AI46" s="4">
        <v>741803</v>
      </c>
      <c r="AJ46" s="4">
        <v>5.2</v>
      </c>
      <c r="AK46" s="4">
        <v>3</v>
      </c>
      <c r="AL46" s="3" t="s">
        <v>19</v>
      </c>
      <c r="AM46" s="3" t="s">
        <v>19</v>
      </c>
      <c r="AN46" s="4">
        <v>1</v>
      </c>
      <c r="AO46" s="14">
        <v>5.2</v>
      </c>
      <c r="AV46" s="12">
        <v>48</v>
      </c>
      <c r="AW46" s="12">
        <v>404.5</v>
      </c>
      <c r="AX46" s="13">
        <v>0</v>
      </c>
      <c r="BB46" s="3" t="s">
        <v>303</v>
      </c>
      <c r="BC46" s="4">
        <v>741803</v>
      </c>
      <c r="BD46" s="4">
        <v>5.2</v>
      </c>
      <c r="BE46" s="4">
        <v>3</v>
      </c>
      <c r="BF46" s="3" t="s">
        <v>19</v>
      </c>
      <c r="BG46" s="3" t="s">
        <v>19</v>
      </c>
      <c r="BH46" s="4">
        <v>1</v>
      </c>
      <c r="BI46" s="14">
        <v>5.2</v>
      </c>
      <c r="BP46" s="12">
        <v>404.5</v>
      </c>
      <c r="BQ46" s="13">
        <v>0</v>
      </c>
      <c r="BR46" s="12">
        <v>48</v>
      </c>
    </row>
    <row r="47" spans="20:70" ht="30.75" thickBot="1" x14ac:dyDescent="0.3">
      <c r="T47" s="3" t="s">
        <v>304</v>
      </c>
      <c r="U47" s="4">
        <v>741808</v>
      </c>
      <c r="V47" s="4">
        <v>6.1</v>
      </c>
      <c r="W47" s="4">
        <v>3</v>
      </c>
      <c r="X47" s="3" t="s">
        <v>19</v>
      </c>
      <c r="Y47" s="3" t="s">
        <v>19</v>
      </c>
      <c r="Z47" s="4">
        <v>1</v>
      </c>
      <c r="AA47" s="14">
        <v>6.1</v>
      </c>
      <c r="AB47" s="12">
        <v>47</v>
      </c>
      <c r="AC47" s="12">
        <v>211.5</v>
      </c>
      <c r="AD47" s="12">
        <v>117.5</v>
      </c>
      <c r="AH47" s="3" t="s">
        <v>304</v>
      </c>
      <c r="AI47" s="4">
        <v>741808</v>
      </c>
      <c r="AJ47" s="4">
        <v>6.1</v>
      </c>
      <c r="AK47" s="4">
        <v>3</v>
      </c>
      <c r="AL47" s="3" t="s">
        <v>19</v>
      </c>
      <c r="AM47" s="3" t="s">
        <v>19</v>
      </c>
      <c r="AN47" s="4">
        <v>1</v>
      </c>
      <c r="AO47" s="14">
        <v>6.1</v>
      </c>
      <c r="AV47" s="12">
        <v>47</v>
      </c>
      <c r="AW47" s="12">
        <v>211.5</v>
      </c>
      <c r="AX47" s="12">
        <v>117.5</v>
      </c>
      <c r="BB47" s="3" t="s">
        <v>304</v>
      </c>
      <c r="BC47" s="4">
        <v>741808</v>
      </c>
      <c r="BD47" s="4">
        <v>6.1</v>
      </c>
      <c r="BE47" s="4">
        <v>3</v>
      </c>
      <c r="BF47" s="3" t="s">
        <v>19</v>
      </c>
      <c r="BG47" s="3" t="s">
        <v>19</v>
      </c>
      <c r="BH47" s="4">
        <v>1</v>
      </c>
      <c r="BI47" s="14">
        <v>6.1</v>
      </c>
      <c r="BP47" s="12">
        <v>211.5</v>
      </c>
      <c r="BQ47" s="12">
        <v>117.5</v>
      </c>
      <c r="BR47" s="12">
        <v>47</v>
      </c>
    </row>
    <row r="48" spans="20:70" ht="30.75" thickBot="1" x14ac:dyDescent="0.3">
      <c r="T48" s="3" t="s">
        <v>305</v>
      </c>
      <c r="U48" s="4">
        <v>741839</v>
      </c>
      <c r="V48" s="4">
        <v>7.2</v>
      </c>
      <c r="W48" s="4">
        <v>3</v>
      </c>
      <c r="X48" s="3" t="s">
        <v>19</v>
      </c>
      <c r="Y48" s="3" t="s">
        <v>19</v>
      </c>
      <c r="Z48" s="4">
        <v>1</v>
      </c>
      <c r="AA48" s="14">
        <v>7.2</v>
      </c>
      <c r="AB48" s="12">
        <v>55</v>
      </c>
      <c r="AC48" s="13"/>
      <c r="AD48" s="12">
        <v>377</v>
      </c>
      <c r="AH48" s="3" t="s">
        <v>305</v>
      </c>
      <c r="AI48" s="4">
        <v>741839</v>
      </c>
      <c r="AJ48" s="4">
        <v>7.2</v>
      </c>
      <c r="AK48" s="4">
        <v>3</v>
      </c>
      <c r="AL48" s="3" t="s">
        <v>19</v>
      </c>
      <c r="AM48" s="3" t="s">
        <v>19</v>
      </c>
      <c r="AN48" s="4">
        <v>1</v>
      </c>
      <c r="AO48" s="14">
        <v>7.2</v>
      </c>
      <c r="AV48" s="12">
        <v>55</v>
      </c>
      <c r="AW48" s="13">
        <v>0</v>
      </c>
      <c r="AX48" s="12">
        <v>377</v>
      </c>
      <c r="BB48" s="3" t="s">
        <v>305</v>
      </c>
      <c r="BC48" s="4">
        <v>741839</v>
      </c>
      <c r="BD48" s="4">
        <v>7.2</v>
      </c>
      <c r="BE48" s="4">
        <v>3</v>
      </c>
      <c r="BF48" s="3" t="s">
        <v>19</v>
      </c>
      <c r="BG48" s="3" t="s">
        <v>19</v>
      </c>
      <c r="BH48" s="4">
        <v>1</v>
      </c>
      <c r="BI48" s="14">
        <v>7.2</v>
      </c>
      <c r="BP48" s="13">
        <v>0</v>
      </c>
      <c r="BQ48" s="12">
        <v>377</v>
      </c>
      <c r="BR48" s="12">
        <v>55</v>
      </c>
    </row>
    <row r="49" spans="20:70" ht="30.75" thickBot="1" x14ac:dyDescent="0.3">
      <c r="T49" s="3" t="s">
        <v>306</v>
      </c>
      <c r="U49" s="4">
        <v>741855</v>
      </c>
      <c r="V49" s="4">
        <v>8.3000000000000007</v>
      </c>
      <c r="W49" s="4">
        <v>3</v>
      </c>
      <c r="X49" s="3" t="s">
        <v>19</v>
      </c>
      <c r="Y49" s="3" t="s">
        <v>19</v>
      </c>
      <c r="Z49" s="4">
        <v>1</v>
      </c>
      <c r="AA49" s="14">
        <v>8.3000000000000007</v>
      </c>
      <c r="AB49" s="12">
        <v>8</v>
      </c>
      <c r="AC49" s="12">
        <v>389.5</v>
      </c>
      <c r="AD49" s="12">
        <v>65.5</v>
      </c>
      <c r="AH49" s="3" t="s">
        <v>306</v>
      </c>
      <c r="AI49" s="4">
        <v>741855</v>
      </c>
      <c r="AJ49" s="4">
        <v>8.3000000000000007</v>
      </c>
      <c r="AK49" s="4">
        <v>3</v>
      </c>
      <c r="AL49" s="3" t="s">
        <v>19</v>
      </c>
      <c r="AM49" s="3" t="s">
        <v>19</v>
      </c>
      <c r="AN49" s="4">
        <v>1</v>
      </c>
      <c r="AO49" s="14">
        <v>8.3000000000000007</v>
      </c>
      <c r="AV49" s="12">
        <v>8</v>
      </c>
      <c r="AW49" s="12">
        <v>389.5</v>
      </c>
      <c r="AX49" s="12">
        <v>65.5</v>
      </c>
      <c r="BB49" s="3" t="s">
        <v>306</v>
      </c>
      <c r="BC49" s="4">
        <v>741855</v>
      </c>
      <c r="BD49" s="4">
        <v>8.3000000000000007</v>
      </c>
      <c r="BE49" s="4">
        <v>3</v>
      </c>
      <c r="BF49" s="3" t="s">
        <v>19</v>
      </c>
      <c r="BG49" s="3" t="s">
        <v>19</v>
      </c>
      <c r="BH49" s="4">
        <v>1</v>
      </c>
      <c r="BI49" s="14">
        <v>8.3000000000000007</v>
      </c>
      <c r="BP49" s="12">
        <v>389.5</v>
      </c>
      <c r="BQ49" s="12">
        <v>65.5</v>
      </c>
      <c r="BR49" s="12">
        <v>8</v>
      </c>
    </row>
    <row r="50" spans="20:70" ht="30.75" thickBot="1" x14ac:dyDescent="0.3">
      <c r="T50" s="3" t="s">
        <v>307</v>
      </c>
      <c r="U50" s="4">
        <v>741837</v>
      </c>
      <c r="V50" s="4">
        <v>9.3000000000000007</v>
      </c>
      <c r="W50" s="4">
        <v>3</v>
      </c>
      <c r="X50" s="3" t="s">
        <v>19</v>
      </c>
      <c r="Y50" s="3" t="s">
        <v>19</v>
      </c>
      <c r="Z50" s="4">
        <v>1</v>
      </c>
      <c r="AA50" s="14">
        <v>9.3000000000000007</v>
      </c>
      <c r="AB50" s="13"/>
      <c r="AC50" s="12">
        <v>385.5</v>
      </c>
      <c r="AD50" s="13"/>
      <c r="AH50" s="3" t="s">
        <v>307</v>
      </c>
      <c r="AI50" s="4">
        <v>741837</v>
      </c>
      <c r="AJ50" s="4">
        <v>9.3000000000000007</v>
      </c>
      <c r="AK50" s="4">
        <v>3</v>
      </c>
      <c r="AL50" s="3" t="s">
        <v>19</v>
      </c>
      <c r="AM50" s="3" t="s">
        <v>19</v>
      </c>
      <c r="AN50" s="4">
        <v>1</v>
      </c>
      <c r="AO50" s="14">
        <v>9.3000000000000007</v>
      </c>
      <c r="AV50" s="13">
        <v>0</v>
      </c>
      <c r="AW50" s="12">
        <v>385.5</v>
      </c>
      <c r="AX50" s="13">
        <v>0</v>
      </c>
      <c r="BB50" s="3" t="s">
        <v>307</v>
      </c>
      <c r="BC50" s="4">
        <v>741837</v>
      </c>
      <c r="BD50" s="4">
        <v>9.3000000000000007</v>
      </c>
      <c r="BE50" s="4">
        <v>3</v>
      </c>
      <c r="BF50" s="3" t="s">
        <v>19</v>
      </c>
      <c r="BG50" s="3" t="s">
        <v>19</v>
      </c>
      <c r="BH50" s="4">
        <v>1</v>
      </c>
      <c r="BI50" s="14">
        <v>9.3000000000000007</v>
      </c>
      <c r="BP50" s="12">
        <v>385.5</v>
      </c>
      <c r="BQ50" s="13">
        <v>0</v>
      </c>
      <c r="BR50" s="13">
        <v>0</v>
      </c>
    </row>
    <row r="51" spans="20:70" ht="30.75" thickBot="1" x14ac:dyDescent="0.3">
      <c r="T51" s="3" t="s">
        <v>308</v>
      </c>
      <c r="U51" s="4">
        <v>741820</v>
      </c>
      <c r="V51" s="4">
        <v>10.1</v>
      </c>
      <c r="W51" s="4">
        <v>3</v>
      </c>
      <c r="X51" s="3" t="s">
        <v>19</v>
      </c>
      <c r="Y51" s="3" t="s">
        <v>19</v>
      </c>
      <c r="Z51" s="4">
        <v>1</v>
      </c>
      <c r="AA51" s="14">
        <v>10.1</v>
      </c>
      <c r="AB51" s="13"/>
      <c r="AC51" s="12">
        <v>264.5</v>
      </c>
      <c r="AD51" s="12">
        <v>137.5</v>
      </c>
      <c r="AH51" s="3" t="s">
        <v>308</v>
      </c>
      <c r="AI51" s="4">
        <v>741820</v>
      </c>
      <c r="AJ51" s="4">
        <v>10.1</v>
      </c>
      <c r="AK51" s="4">
        <v>3</v>
      </c>
      <c r="AL51" s="3" t="s">
        <v>19</v>
      </c>
      <c r="AM51" s="3" t="s">
        <v>19</v>
      </c>
      <c r="AN51" s="4">
        <v>1</v>
      </c>
      <c r="AO51" s="14">
        <v>10.1</v>
      </c>
      <c r="AV51" s="13">
        <v>0</v>
      </c>
      <c r="AW51" s="12">
        <v>264.5</v>
      </c>
      <c r="AX51" s="12">
        <v>137.5</v>
      </c>
      <c r="BB51" s="3" t="s">
        <v>308</v>
      </c>
      <c r="BC51" s="4">
        <v>741820</v>
      </c>
      <c r="BD51" s="4">
        <v>10.1</v>
      </c>
      <c r="BE51" s="4">
        <v>3</v>
      </c>
      <c r="BF51" s="3" t="s">
        <v>19</v>
      </c>
      <c r="BG51" s="3" t="s">
        <v>19</v>
      </c>
      <c r="BH51" s="4">
        <v>1</v>
      </c>
      <c r="BI51" s="14">
        <v>10.1</v>
      </c>
      <c r="BP51" s="12">
        <v>264.5</v>
      </c>
      <c r="BQ51" s="12">
        <v>137.5</v>
      </c>
      <c r="BR51" s="13">
        <v>0</v>
      </c>
    </row>
    <row r="52" spans="20:70" ht="30.75" thickBot="1" x14ac:dyDescent="0.3">
      <c r="T52" s="3" t="s">
        <v>309</v>
      </c>
      <c r="U52" s="4">
        <v>741801</v>
      </c>
      <c r="V52" s="4">
        <v>11.3</v>
      </c>
      <c r="W52" s="4">
        <v>3</v>
      </c>
      <c r="X52" s="3" t="s">
        <v>19</v>
      </c>
      <c r="Y52" s="3" t="s">
        <v>19</v>
      </c>
      <c r="Z52" s="4">
        <v>1</v>
      </c>
      <c r="AA52" s="14">
        <v>11.3</v>
      </c>
      <c r="AB52" s="12">
        <v>19</v>
      </c>
      <c r="AC52" s="12">
        <v>752.5</v>
      </c>
      <c r="AD52" s="13"/>
      <c r="AH52" s="3" t="s">
        <v>309</v>
      </c>
      <c r="AI52" s="4">
        <v>741801</v>
      </c>
      <c r="AJ52" s="4">
        <v>11.3</v>
      </c>
      <c r="AK52" s="4">
        <v>3</v>
      </c>
      <c r="AL52" s="3" t="s">
        <v>19</v>
      </c>
      <c r="AM52" s="3" t="s">
        <v>19</v>
      </c>
      <c r="AN52" s="4">
        <v>1</v>
      </c>
      <c r="AO52" s="14">
        <v>11.3</v>
      </c>
      <c r="AV52" s="12">
        <v>19</v>
      </c>
      <c r="AW52" s="12">
        <v>752.5</v>
      </c>
      <c r="AX52" s="13">
        <v>0</v>
      </c>
      <c r="BB52" s="3" t="s">
        <v>309</v>
      </c>
      <c r="BC52" s="4">
        <v>741801</v>
      </c>
      <c r="BD52" s="4">
        <v>11.3</v>
      </c>
      <c r="BE52" s="4">
        <v>3</v>
      </c>
      <c r="BF52" s="3" t="s">
        <v>19</v>
      </c>
      <c r="BG52" s="3" t="s">
        <v>19</v>
      </c>
      <c r="BH52" s="4">
        <v>1</v>
      </c>
      <c r="BI52" s="14">
        <v>11.3</v>
      </c>
      <c r="BP52" s="12">
        <v>752.5</v>
      </c>
      <c r="BQ52" s="13">
        <v>0</v>
      </c>
      <c r="BR52" s="12">
        <v>19</v>
      </c>
    </row>
    <row r="53" spans="20:70" ht="30.75" thickBot="1" x14ac:dyDescent="0.3">
      <c r="T53" s="3" t="s">
        <v>310</v>
      </c>
      <c r="U53" s="4">
        <v>741813</v>
      </c>
      <c r="V53" s="4">
        <v>12.3</v>
      </c>
      <c r="W53" s="4">
        <v>3</v>
      </c>
      <c r="X53" s="3" t="s">
        <v>19</v>
      </c>
      <c r="Y53" s="3" t="s">
        <v>19</v>
      </c>
      <c r="Z53" s="4">
        <v>1</v>
      </c>
      <c r="AA53" s="14">
        <v>12.3</v>
      </c>
      <c r="AB53" s="12">
        <v>35</v>
      </c>
      <c r="AC53" s="12">
        <v>172.5</v>
      </c>
      <c r="AD53" s="12">
        <v>204</v>
      </c>
      <c r="AH53" s="3" t="s">
        <v>310</v>
      </c>
      <c r="AI53" s="4">
        <v>741813</v>
      </c>
      <c r="AJ53" s="4">
        <v>12.3</v>
      </c>
      <c r="AK53" s="4">
        <v>3</v>
      </c>
      <c r="AL53" s="3" t="s">
        <v>19</v>
      </c>
      <c r="AM53" s="3" t="s">
        <v>19</v>
      </c>
      <c r="AN53" s="4">
        <v>1</v>
      </c>
      <c r="AO53" s="14">
        <v>12.3</v>
      </c>
      <c r="AV53" s="12">
        <v>35</v>
      </c>
      <c r="AW53" s="12">
        <v>172.5</v>
      </c>
      <c r="AX53" s="12">
        <v>204</v>
      </c>
      <c r="BB53" s="3" t="s">
        <v>310</v>
      </c>
      <c r="BC53" s="4">
        <v>741813</v>
      </c>
      <c r="BD53" s="4">
        <v>12.3</v>
      </c>
      <c r="BE53" s="4">
        <v>3</v>
      </c>
      <c r="BF53" s="3" t="s">
        <v>19</v>
      </c>
      <c r="BG53" s="3" t="s">
        <v>19</v>
      </c>
      <c r="BH53" s="4">
        <v>1</v>
      </c>
      <c r="BI53" s="14">
        <v>12.3</v>
      </c>
      <c r="BP53" s="12">
        <v>172.5</v>
      </c>
      <c r="BQ53" s="12">
        <v>204</v>
      </c>
      <c r="BR53" s="12">
        <v>35</v>
      </c>
    </row>
    <row r="54" spans="20:70" ht="30.75" thickBot="1" x14ac:dyDescent="0.3">
      <c r="T54" s="3" t="s">
        <v>311</v>
      </c>
      <c r="U54" s="4">
        <v>741849</v>
      </c>
      <c r="V54" s="4">
        <v>13.3</v>
      </c>
      <c r="W54" s="4">
        <v>3</v>
      </c>
      <c r="X54" s="3" t="s">
        <v>19</v>
      </c>
      <c r="Y54" s="3" t="s">
        <v>19</v>
      </c>
      <c r="Z54" s="4">
        <v>1</v>
      </c>
      <c r="AA54" s="14">
        <v>13.3</v>
      </c>
      <c r="AB54" s="12">
        <v>112</v>
      </c>
      <c r="AC54" s="13"/>
      <c r="AD54" s="12">
        <v>331.5</v>
      </c>
      <c r="AH54" s="3" t="s">
        <v>311</v>
      </c>
      <c r="AI54" s="4">
        <v>741849</v>
      </c>
      <c r="AJ54" s="4">
        <v>13.3</v>
      </c>
      <c r="AK54" s="4">
        <v>3</v>
      </c>
      <c r="AL54" s="3" t="s">
        <v>19</v>
      </c>
      <c r="AM54" s="3" t="s">
        <v>19</v>
      </c>
      <c r="AN54" s="4">
        <v>1</v>
      </c>
      <c r="AO54" s="14">
        <v>13.3</v>
      </c>
      <c r="AV54" s="12">
        <v>112</v>
      </c>
      <c r="AW54" s="13">
        <v>0</v>
      </c>
      <c r="AX54" s="12">
        <v>331.5</v>
      </c>
      <c r="BB54" s="3" t="s">
        <v>311</v>
      </c>
      <c r="BC54" s="4">
        <v>741849</v>
      </c>
      <c r="BD54" s="4">
        <v>13.3</v>
      </c>
      <c r="BE54" s="4">
        <v>3</v>
      </c>
      <c r="BF54" s="3" t="s">
        <v>19</v>
      </c>
      <c r="BG54" s="3" t="s">
        <v>19</v>
      </c>
      <c r="BH54" s="4">
        <v>1</v>
      </c>
      <c r="BI54" s="14">
        <v>13.3</v>
      </c>
      <c r="BP54" s="13">
        <v>0</v>
      </c>
      <c r="BQ54" s="12">
        <v>331.5</v>
      </c>
      <c r="BR54" s="12">
        <v>112</v>
      </c>
    </row>
    <row r="55" spans="20:70" ht="30.75" thickBot="1" x14ac:dyDescent="0.3">
      <c r="T55" s="3" t="s">
        <v>312</v>
      </c>
      <c r="U55" s="4">
        <v>741834</v>
      </c>
      <c r="V55" s="4">
        <v>14.3</v>
      </c>
      <c r="W55" s="4">
        <v>3</v>
      </c>
      <c r="X55" s="3" t="s">
        <v>19</v>
      </c>
      <c r="Y55" s="3" t="s">
        <v>19</v>
      </c>
      <c r="Z55" s="4">
        <v>1</v>
      </c>
      <c r="AA55" s="14">
        <v>14.3</v>
      </c>
      <c r="AB55" s="12">
        <v>8</v>
      </c>
      <c r="AC55" s="12">
        <v>275</v>
      </c>
      <c r="AD55" s="12">
        <v>164.5</v>
      </c>
      <c r="AH55" s="3" t="s">
        <v>312</v>
      </c>
      <c r="AI55" s="4">
        <v>741834</v>
      </c>
      <c r="AJ55" s="4">
        <v>14.3</v>
      </c>
      <c r="AK55" s="4">
        <v>3</v>
      </c>
      <c r="AL55" s="3" t="s">
        <v>19</v>
      </c>
      <c r="AM55" s="3" t="s">
        <v>19</v>
      </c>
      <c r="AN55" s="4">
        <v>1</v>
      </c>
      <c r="AO55" s="14">
        <v>14.3</v>
      </c>
      <c r="AV55" s="12">
        <v>8</v>
      </c>
      <c r="AW55" s="12">
        <v>275</v>
      </c>
      <c r="AX55" s="12">
        <v>164.5</v>
      </c>
      <c r="BB55" s="3" t="s">
        <v>312</v>
      </c>
      <c r="BC55" s="4">
        <v>741834</v>
      </c>
      <c r="BD55" s="4">
        <v>14.3</v>
      </c>
      <c r="BE55" s="4">
        <v>3</v>
      </c>
      <c r="BF55" s="3" t="s">
        <v>19</v>
      </c>
      <c r="BG55" s="3" t="s">
        <v>19</v>
      </c>
      <c r="BH55" s="4">
        <v>1</v>
      </c>
      <c r="BI55" s="14">
        <v>14.3</v>
      </c>
      <c r="BP55" s="12">
        <v>275</v>
      </c>
      <c r="BQ55" s="12">
        <v>164.5</v>
      </c>
      <c r="BR55" s="12">
        <v>8</v>
      </c>
    </row>
    <row r="56" spans="20:70" ht="30.75" thickBot="1" x14ac:dyDescent="0.3">
      <c r="T56" s="3" t="s">
        <v>313</v>
      </c>
      <c r="U56" s="4">
        <v>741845</v>
      </c>
      <c r="V56" s="4">
        <v>15.2</v>
      </c>
      <c r="W56" s="4">
        <v>3</v>
      </c>
      <c r="X56" s="3" t="s">
        <v>19</v>
      </c>
      <c r="Y56" s="3" t="s">
        <v>19</v>
      </c>
      <c r="Z56" s="4">
        <v>1</v>
      </c>
      <c r="AA56" s="14">
        <v>15.2</v>
      </c>
      <c r="AB56" s="12">
        <v>4</v>
      </c>
      <c r="AC56" s="12">
        <v>472.5</v>
      </c>
      <c r="AD56" s="13"/>
      <c r="AH56" s="3" t="s">
        <v>313</v>
      </c>
      <c r="AI56" s="4">
        <v>741845</v>
      </c>
      <c r="AJ56" s="4">
        <v>15.2</v>
      </c>
      <c r="AK56" s="4">
        <v>3</v>
      </c>
      <c r="AL56" s="3" t="s">
        <v>19</v>
      </c>
      <c r="AM56" s="3" t="s">
        <v>19</v>
      </c>
      <c r="AN56" s="4">
        <v>1</v>
      </c>
      <c r="AO56" s="14">
        <v>15.2</v>
      </c>
      <c r="AV56" s="12">
        <v>4</v>
      </c>
      <c r="AW56" s="12">
        <v>472.5</v>
      </c>
      <c r="AX56" s="13">
        <v>0</v>
      </c>
      <c r="BB56" s="3" t="s">
        <v>313</v>
      </c>
      <c r="BC56" s="4">
        <v>741845</v>
      </c>
      <c r="BD56" s="4">
        <v>15.2</v>
      </c>
      <c r="BE56" s="4">
        <v>3</v>
      </c>
      <c r="BF56" s="3" t="s">
        <v>19</v>
      </c>
      <c r="BG56" s="3" t="s">
        <v>19</v>
      </c>
      <c r="BH56" s="4">
        <v>1</v>
      </c>
      <c r="BI56" s="14">
        <v>15.2</v>
      </c>
      <c r="BP56" s="12">
        <v>472.5</v>
      </c>
      <c r="BQ56" s="13">
        <v>0</v>
      </c>
      <c r="BR56" s="12">
        <v>4</v>
      </c>
    </row>
    <row r="57" spans="20:70" ht="30.75" thickBot="1" x14ac:dyDescent="0.3">
      <c r="T57" s="3" t="s">
        <v>314</v>
      </c>
      <c r="U57" s="4">
        <v>741819</v>
      </c>
      <c r="V57" s="4">
        <v>16.3</v>
      </c>
      <c r="W57" s="4">
        <v>3</v>
      </c>
      <c r="X57" s="3" t="s">
        <v>19</v>
      </c>
      <c r="Y57" s="3" t="s">
        <v>19</v>
      </c>
      <c r="Z57" s="4">
        <v>1</v>
      </c>
      <c r="AA57" s="14">
        <v>16.3</v>
      </c>
      <c r="AB57" s="12">
        <v>17</v>
      </c>
      <c r="AC57" s="12">
        <v>311</v>
      </c>
      <c r="AD57" s="12">
        <v>129.5</v>
      </c>
      <c r="AH57" s="3" t="s">
        <v>314</v>
      </c>
      <c r="AI57" s="4">
        <v>741819</v>
      </c>
      <c r="AJ57" s="4">
        <v>16.3</v>
      </c>
      <c r="AK57" s="4">
        <v>3</v>
      </c>
      <c r="AL57" s="3" t="s">
        <v>19</v>
      </c>
      <c r="AM57" s="3" t="s">
        <v>19</v>
      </c>
      <c r="AN57" s="4">
        <v>1</v>
      </c>
      <c r="AO57" s="14">
        <v>16.3</v>
      </c>
      <c r="AV57" s="12">
        <v>17</v>
      </c>
      <c r="AW57" s="12">
        <v>311</v>
      </c>
      <c r="AX57" s="12">
        <v>129.5</v>
      </c>
      <c r="BB57" s="3" t="s">
        <v>314</v>
      </c>
      <c r="BC57" s="4">
        <v>741819</v>
      </c>
      <c r="BD57" s="4">
        <v>16.3</v>
      </c>
      <c r="BE57" s="4">
        <v>3</v>
      </c>
      <c r="BF57" s="3" t="s">
        <v>19</v>
      </c>
      <c r="BG57" s="3" t="s">
        <v>19</v>
      </c>
      <c r="BH57" s="4">
        <v>1</v>
      </c>
      <c r="BI57" s="14">
        <v>16.3</v>
      </c>
      <c r="BP57" s="12">
        <v>311</v>
      </c>
      <c r="BQ57" s="12">
        <v>129.5</v>
      </c>
      <c r="BR57" s="12">
        <v>17</v>
      </c>
    </row>
    <row r="58" spans="20:70" ht="30.75" thickBot="1" x14ac:dyDescent="0.3">
      <c r="T58" s="3" t="s">
        <v>315</v>
      </c>
      <c r="U58" s="4">
        <v>741841</v>
      </c>
      <c r="V58" s="4">
        <v>17.100000000000001</v>
      </c>
      <c r="W58" s="4">
        <v>3</v>
      </c>
      <c r="X58" s="3" t="s">
        <v>19</v>
      </c>
      <c r="Y58" s="3" t="s">
        <v>19</v>
      </c>
      <c r="Z58" s="4">
        <v>1</v>
      </c>
      <c r="AA58" s="14">
        <v>17.100000000000001</v>
      </c>
      <c r="AB58" s="12">
        <v>75</v>
      </c>
      <c r="AC58" s="13"/>
      <c r="AD58" s="12">
        <v>517.5</v>
      </c>
      <c r="AH58" s="3" t="s">
        <v>315</v>
      </c>
      <c r="AI58" s="4">
        <v>741841</v>
      </c>
      <c r="AJ58" s="4">
        <v>17.100000000000001</v>
      </c>
      <c r="AK58" s="4">
        <v>3</v>
      </c>
      <c r="AL58" s="3" t="s">
        <v>19</v>
      </c>
      <c r="AM58" s="3" t="s">
        <v>19</v>
      </c>
      <c r="AN58" s="4">
        <v>1</v>
      </c>
      <c r="AO58" s="14">
        <v>17.100000000000001</v>
      </c>
      <c r="AV58" s="12">
        <v>75</v>
      </c>
      <c r="AW58" s="13">
        <v>0</v>
      </c>
      <c r="AX58" s="12">
        <v>517.5</v>
      </c>
      <c r="BB58" s="3" t="s">
        <v>315</v>
      </c>
      <c r="BC58" s="4">
        <v>741841</v>
      </c>
      <c r="BD58" s="4">
        <v>17.100000000000001</v>
      </c>
      <c r="BE58" s="4">
        <v>3</v>
      </c>
      <c r="BF58" s="3" t="s">
        <v>19</v>
      </c>
      <c r="BG58" s="3" t="s">
        <v>19</v>
      </c>
      <c r="BH58" s="4">
        <v>1</v>
      </c>
      <c r="BI58" s="14">
        <v>17.100000000000001</v>
      </c>
      <c r="BP58" s="13">
        <v>0</v>
      </c>
      <c r="BQ58" s="12">
        <v>517.5</v>
      </c>
      <c r="BR58" s="12">
        <v>75</v>
      </c>
    </row>
    <row r="59" spans="20:70" ht="30.75" thickBot="1" x14ac:dyDescent="0.3">
      <c r="T59" s="3" t="s">
        <v>316</v>
      </c>
      <c r="U59" s="4">
        <v>741814</v>
      </c>
      <c r="V59" s="4">
        <v>18.100000000000001</v>
      </c>
      <c r="W59" s="4">
        <v>3</v>
      </c>
      <c r="X59" s="3" t="s">
        <v>19</v>
      </c>
      <c r="Y59" s="3" t="s">
        <v>19</v>
      </c>
      <c r="Z59" s="4">
        <v>1</v>
      </c>
      <c r="AA59" s="14">
        <v>18.100000000000001</v>
      </c>
      <c r="AB59" s="12">
        <v>24</v>
      </c>
      <c r="AC59" s="12">
        <v>305.5</v>
      </c>
      <c r="AD59" s="12">
        <v>127.5</v>
      </c>
      <c r="AH59" s="3" t="s">
        <v>316</v>
      </c>
      <c r="AI59" s="4">
        <v>741814</v>
      </c>
      <c r="AJ59" s="4">
        <v>18.100000000000001</v>
      </c>
      <c r="AK59" s="4">
        <v>3</v>
      </c>
      <c r="AL59" s="3" t="s">
        <v>19</v>
      </c>
      <c r="AM59" s="3" t="s">
        <v>19</v>
      </c>
      <c r="AN59" s="4">
        <v>1</v>
      </c>
      <c r="AO59" s="14">
        <v>18.100000000000001</v>
      </c>
      <c r="AV59" s="12">
        <v>24</v>
      </c>
      <c r="AW59" s="12">
        <v>305.5</v>
      </c>
      <c r="AX59" s="12">
        <v>127.5</v>
      </c>
      <c r="BB59" s="3" t="s">
        <v>316</v>
      </c>
      <c r="BC59" s="4">
        <v>741814</v>
      </c>
      <c r="BD59" s="4">
        <v>18.100000000000001</v>
      </c>
      <c r="BE59" s="4">
        <v>3</v>
      </c>
      <c r="BF59" s="3" t="s">
        <v>19</v>
      </c>
      <c r="BG59" s="3" t="s">
        <v>19</v>
      </c>
      <c r="BH59" s="4">
        <v>1</v>
      </c>
      <c r="BI59" s="14">
        <v>18.100000000000001</v>
      </c>
      <c r="BP59" s="12">
        <v>305.5</v>
      </c>
      <c r="BQ59" s="12">
        <v>127.5</v>
      </c>
      <c r="BR59" s="12">
        <v>24</v>
      </c>
    </row>
    <row r="60" spans="20:70" ht="30.75" thickBot="1" x14ac:dyDescent="0.3">
      <c r="T60" s="3" t="s">
        <v>317</v>
      </c>
      <c r="U60" s="4">
        <v>741852</v>
      </c>
      <c r="V60" s="4">
        <v>19.3</v>
      </c>
      <c r="W60" s="4">
        <v>3</v>
      </c>
      <c r="X60" s="3" t="s">
        <v>19</v>
      </c>
      <c r="Y60" s="3" t="s">
        <v>19</v>
      </c>
      <c r="Z60" s="4">
        <v>1</v>
      </c>
      <c r="AA60" s="14">
        <v>19.3</v>
      </c>
      <c r="AB60" s="12">
        <v>88</v>
      </c>
      <c r="AC60" s="13"/>
      <c r="AD60" s="12">
        <v>451</v>
      </c>
      <c r="AH60" s="3" t="s">
        <v>317</v>
      </c>
      <c r="AI60" s="4">
        <v>741852</v>
      </c>
      <c r="AJ60" s="4">
        <v>19.3</v>
      </c>
      <c r="AK60" s="4">
        <v>3</v>
      </c>
      <c r="AL60" s="3" t="s">
        <v>19</v>
      </c>
      <c r="AM60" s="3" t="s">
        <v>19</v>
      </c>
      <c r="AN60" s="4">
        <v>1</v>
      </c>
      <c r="AO60" s="14">
        <v>19.3</v>
      </c>
      <c r="AV60" s="12">
        <v>88</v>
      </c>
      <c r="AW60" s="13">
        <v>0</v>
      </c>
      <c r="AX60" s="12">
        <v>451</v>
      </c>
      <c r="BB60" s="3" t="s">
        <v>317</v>
      </c>
      <c r="BC60" s="4">
        <v>741852</v>
      </c>
      <c r="BD60" s="4">
        <v>19.3</v>
      </c>
      <c r="BE60" s="4">
        <v>3</v>
      </c>
      <c r="BF60" s="3" t="s">
        <v>19</v>
      </c>
      <c r="BG60" s="3" t="s">
        <v>19</v>
      </c>
      <c r="BH60" s="4">
        <v>1</v>
      </c>
      <c r="BI60" s="14">
        <v>19.3</v>
      </c>
      <c r="BP60" s="13">
        <v>0</v>
      </c>
      <c r="BQ60" s="12">
        <v>451</v>
      </c>
      <c r="BR60" s="12">
        <v>88</v>
      </c>
    </row>
    <row r="61" spans="20:70" ht="30.75" thickBot="1" x14ac:dyDescent="0.3">
      <c r="T61" s="3" t="s">
        <v>318</v>
      </c>
      <c r="U61" s="4">
        <v>741831</v>
      </c>
      <c r="V61" s="4">
        <v>20.3</v>
      </c>
      <c r="W61" s="4">
        <v>3</v>
      </c>
      <c r="X61" s="3" t="s">
        <v>19</v>
      </c>
      <c r="Y61" s="3" t="s">
        <v>19</v>
      </c>
      <c r="Z61" s="4">
        <v>1</v>
      </c>
      <c r="AA61" s="14">
        <v>20.3</v>
      </c>
      <c r="AB61" s="12">
        <v>64</v>
      </c>
      <c r="AC61" s="12">
        <v>339.5</v>
      </c>
      <c r="AD61" s="12">
        <v>183.5</v>
      </c>
      <c r="AH61" s="3" t="s">
        <v>318</v>
      </c>
      <c r="AI61" s="4">
        <v>741831</v>
      </c>
      <c r="AJ61" s="4">
        <v>20.3</v>
      </c>
      <c r="AK61" s="4">
        <v>3</v>
      </c>
      <c r="AL61" s="3" t="s">
        <v>19</v>
      </c>
      <c r="AM61" s="3" t="s">
        <v>19</v>
      </c>
      <c r="AN61" s="4">
        <v>1</v>
      </c>
      <c r="AO61" s="14">
        <v>20.3</v>
      </c>
      <c r="AV61" s="12">
        <v>64</v>
      </c>
      <c r="AW61" s="12">
        <v>339.5</v>
      </c>
      <c r="AX61" s="12">
        <v>183.5</v>
      </c>
      <c r="BB61" s="3" t="s">
        <v>318</v>
      </c>
      <c r="BC61" s="4">
        <v>741831</v>
      </c>
      <c r="BD61" s="4">
        <v>20.3</v>
      </c>
      <c r="BE61" s="4">
        <v>3</v>
      </c>
      <c r="BF61" s="3" t="s">
        <v>19</v>
      </c>
      <c r="BG61" s="3" t="s">
        <v>19</v>
      </c>
      <c r="BH61" s="4">
        <v>1</v>
      </c>
      <c r="BI61" s="14">
        <v>20.3</v>
      </c>
      <c r="BP61" s="12">
        <v>339.5</v>
      </c>
      <c r="BQ61" s="12">
        <v>183.5</v>
      </c>
      <c r="BR61" s="12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74AD-1570-4786-8E40-8A05C562438B}">
  <dimension ref="A1:AF21"/>
  <sheetViews>
    <sheetView workbookViewId="0">
      <selection activeCell="I12" sqref="I12"/>
    </sheetView>
  </sheetViews>
  <sheetFormatPr defaultRowHeight="15" x14ac:dyDescent="0.25"/>
  <cols>
    <col min="1" max="1" width="21.140625" bestFit="1" customWidth="1"/>
  </cols>
  <sheetData>
    <row r="1" spans="1:32" ht="45.75" thickBot="1" x14ac:dyDescent="0.3">
      <c r="A1" t="s">
        <v>319</v>
      </c>
      <c r="B1" t="s">
        <v>106</v>
      </c>
      <c r="C1" t="s">
        <v>105</v>
      </c>
      <c r="D1" t="s">
        <v>320</v>
      </c>
      <c r="E1" t="s">
        <v>321</v>
      </c>
      <c r="F1" t="s">
        <v>322</v>
      </c>
      <c r="M1" s="19" t="s">
        <v>343</v>
      </c>
      <c r="N1" s="19" t="s">
        <v>344</v>
      </c>
      <c r="O1" s="19" t="s">
        <v>345</v>
      </c>
      <c r="P1" s="19" t="s">
        <v>346</v>
      </c>
      <c r="Q1" s="19" t="s">
        <v>347</v>
      </c>
      <c r="R1" s="19" t="s">
        <v>348</v>
      </c>
      <c r="S1" s="20" t="s">
        <v>349</v>
      </c>
      <c r="T1" s="19" t="s">
        <v>350</v>
      </c>
      <c r="U1" s="21" t="s">
        <v>351</v>
      </c>
      <c r="V1" s="19" t="s">
        <v>352</v>
      </c>
      <c r="W1" s="22" t="s">
        <v>353</v>
      </c>
      <c r="X1" s="19" t="s">
        <v>354</v>
      </c>
      <c r="Y1" s="19" t="s">
        <v>355</v>
      </c>
      <c r="Z1" s="19" t="s">
        <v>356</v>
      </c>
      <c r="AA1" s="23" t="s">
        <v>357</v>
      </c>
      <c r="AB1" s="24" t="s">
        <v>358</v>
      </c>
      <c r="AC1" s="25" t="s">
        <v>359</v>
      </c>
      <c r="AD1" s="25" t="s">
        <v>360</v>
      </c>
      <c r="AE1" s="25" t="s">
        <v>361</v>
      </c>
      <c r="AF1" s="25" t="s">
        <v>362</v>
      </c>
    </row>
    <row r="2" spans="1:32" ht="45.75" thickBot="1" x14ac:dyDescent="0.3">
      <c r="A2" t="s">
        <v>323</v>
      </c>
      <c r="B2" t="s">
        <v>19</v>
      </c>
      <c r="C2">
        <v>184</v>
      </c>
      <c r="D2" t="s">
        <v>19</v>
      </c>
      <c r="E2">
        <v>218</v>
      </c>
      <c r="F2">
        <v>0</v>
      </c>
      <c r="M2" s="26" t="s">
        <v>363</v>
      </c>
      <c r="N2" s="27">
        <v>1</v>
      </c>
      <c r="O2" s="27">
        <v>0</v>
      </c>
      <c r="P2" s="26" t="s">
        <v>19</v>
      </c>
      <c r="Q2" s="26" t="s">
        <v>23</v>
      </c>
      <c r="R2" s="27" t="s">
        <v>19</v>
      </c>
      <c r="S2" s="28" t="s">
        <v>19</v>
      </c>
      <c r="T2" s="29">
        <v>45841</v>
      </c>
      <c r="U2" s="27">
        <v>184</v>
      </c>
      <c r="V2" s="29" t="s">
        <v>19</v>
      </c>
      <c r="W2" s="28" t="s">
        <v>19</v>
      </c>
      <c r="X2" s="29">
        <v>45875</v>
      </c>
      <c r="Y2" s="26">
        <v>218</v>
      </c>
      <c r="Z2" s="30">
        <v>0</v>
      </c>
      <c r="AA2" s="27" t="s">
        <v>19</v>
      </c>
      <c r="AB2" s="31" t="s">
        <v>364</v>
      </c>
      <c r="AC2" s="32">
        <v>1</v>
      </c>
      <c r="AD2" s="33" t="s">
        <v>23</v>
      </c>
      <c r="AE2" s="33" t="s">
        <v>365</v>
      </c>
      <c r="AF2" s="33" t="s">
        <v>366</v>
      </c>
    </row>
    <row r="3" spans="1:32" ht="30.75" thickBot="1" x14ac:dyDescent="0.3">
      <c r="A3" t="s">
        <v>324</v>
      </c>
      <c r="B3">
        <v>183</v>
      </c>
      <c r="C3">
        <v>179</v>
      </c>
      <c r="D3">
        <v>215</v>
      </c>
      <c r="E3">
        <v>216</v>
      </c>
      <c r="F3">
        <v>1</v>
      </c>
      <c r="M3" s="26" t="s">
        <v>367</v>
      </c>
      <c r="N3" s="27">
        <v>2</v>
      </c>
      <c r="O3" s="27">
        <v>0</v>
      </c>
      <c r="P3" s="26" t="s">
        <v>368</v>
      </c>
      <c r="Q3" s="26" t="s">
        <v>39</v>
      </c>
      <c r="R3" s="29">
        <v>45840</v>
      </c>
      <c r="S3" s="28">
        <v>183</v>
      </c>
      <c r="T3" s="29">
        <v>45836</v>
      </c>
      <c r="U3" s="27">
        <v>179</v>
      </c>
      <c r="V3" s="29">
        <v>45872</v>
      </c>
      <c r="W3" s="28">
        <v>215</v>
      </c>
      <c r="X3" s="29">
        <v>45873</v>
      </c>
      <c r="Y3" s="26">
        <v>216</v>
      </c>
      <c r="Z3" s="30">
        <v>1</v>
      </c>
      <c r="AA3" s="27" t="s">
        <v>19</v>
      </c>
      <c r="AB3" s="34" t="s">
        <v>364</v>
      </c>
      <c r="AC3" s="35">
        <v>2</v>
      </c>
      <c r="AD3" s="36" t="s">
        <v>39</v>
      </c>
      <c r="AE3" s="36" t="s">
        <v>27</v>
      </c>
      <c r="AF3" s="36" t="s">
        <v>369</v>
      </c>
    </row>
    <row r="4" spans="1:32" ht="45.75" thickBot="1" x14ac:dyDescent="0.3">
      <c r="A4" t="s">
        <v>325</v>
      </c>
      <c r="B4">
        <v>181</v>
      </c>
      <c r="C4" t="s">
        <v>19</v>
      </c>
      <c r="D4">
        <v>213</v>
      </c>
      <c r="E4" t="s">
        <v>19</v>
      </c>
      <c r="F4">
        <v>8</v>
      </c>
      <c r="M4" s="26" t="s">
        <v>370</v>
      </c>
      <c r="N4" s="27">
        <v>3</v>
      </c>
      <c r="O4" s="27">
        <v>0</v>
      </c>
      <c r="P4" s="26" t="s">
        <v>17</v>
      </c>
      <c r="Q4" s="26" t="s">
        <v>19</v>
      </c>
      <c r="R4" s="29">
        <v>45838</v>
      </c>
      <c r="S4" s="28">
        <v>181</v>
      </c>
      <c r="T4" s="27" t="s">
        <v>19</v>
      </c>
      <c r="U4" s="27" t="s">
        <v>19</v>
      </c>
      <c r="V4" s="29">
        <v>45870</v>
      </c>
      <c r="W4" s="28">
        <v>213</v>
      </c>
      <c r="X4" s="27" t="s">
        <v>19</v>
      </c>
      <c r="Y4" s="27" t="s">
        <v>19</v>
      </c>
      <c r="Z4" s="30">
        <v>8</v>
      </c>
      <c r="AA4" s="27" t="s">
        <v>19</v>
      </c>
      <c r="AB4" s="34" t="s">
        <v>364</v>
      </c>
      <c r="AC4" s="35">
        <v>3</v>
      </c>
      <c r="AD4" s="36" t="s">
        <v>371</v>
      </c>
      <c r="AE4" s="36" t="s">
        <v>17</v>
      </c>
      <c r="AF4" s="36" t="s">
        <v>366</v>
      </c>
    </row>
    <row r="5" spans="1:32" ht="30.75" thickBot="1" x14ac:dyDescent="0.3">
      <c r="A5" t="s">
        <v>326</v>
      </c>
      <c r="B5">
        <v>181</v>
      </c>
      <c r="C5">
        <v>181</v>
      </c>
      <c r="D5">
        <v>211</v>
      </c>
      <c r="E5">
        <v>218</v>
      </c>
      <c r="F5">
        <v>1</v>
      </c>
      <c r="M5" s="26" t="s">
        <v>372</v>
      </c>
      <c r="N5" s="27">
        <v>4</v>
      </c>
      <c r="O5" s="27">
        <v>0</v>
      </c>
      <c r="P5" s="26" t="s">
        <v>373</v>
      </c>
      <c r="Q5" s="26" t="s">
        <v>28</v>
      </c>
      <c r="R5" s="29">
        <v>45838</v>
      </c>
      <c r="S5" s="28">
        <v>181</v>
      </c>
      <c r="T5" s="29">
        <v>45838</v>
      </c>
      <c r="U5" s="27">
        <v>181</v>
      </c>
      <c r="V5" s="29">
        <v>45868</v>
      </c>
      <c r="W5" s="28">
        <v>211</v>
      </c>
      <c r="X5" s="29">
        <v>45875</v>
      </c>
      <c r="Y5" s="26">
        <v>218</v>
      </c>
      <c r="Z5" s="30">
        <v>1</v>
      </c>
      <c r="AA5" s="27" t="s">
        <v>19</v>
      </c>
      <c r="AB5" s="34" t="s">
        <v>364</v>
      </c>
      <c r="AC5" s="35">
        <v>4</v>
      </c>
      <c r="AD5" s="36" t="s">
        <v>28</v>
      </c>
      <c r="AE5" s="36" t="s">
        <v>43</v>
      </c>
      <c r="AF5" s="36" t="s">
        <v>369</v>
      </c>
    </row>
    <row r="6" spans="1:32" ht="45.75" thickBot="1" x14ac:dyDescent="0.3">
      <c r="A6" t="s">
        <v>327</v>
      </c>
      <c r="B6" t="s">
        <v>19</v>
      </c>
      <c r="C6">
        <v>178</v>
      </c>
      <c r="D6" t="s">
        <v>19</v>
      </c>
      <c r="E6">
        <v>216</v>
      </c>
      <c r="F6">
        <v>0</v>
      </c>
      <c r="M6" s="26" t="s">
        <v>374</v>
      </c>
      <c r="N6" s="27">
        <v>5</v>
      </c>
      <c r="O6" s="27">
        <v>0</v>
      </c>
      <c r="P6" s="26" t="s">
        <v>19</v>
      </c>
      <c r="Q6" s="26" t="s">
        <v>39</v>
      </c>
      <c r="R6" s="27" t="s">
        <v>19</v>
      </c>
      <c r="S6" s="28" t="s">
        <v>19</v>
      </c>
      <c r="T6" s="29">
        <v>45835</v>
      </c>
      <c r="U6" s="27">
        <v>178</v>
      </c>
      <c r="V6" s="27" t="s">
        <v>19</v>
      </c>
      <c r="W6" s="28" t="s">
        <v>19</v>
      </c>
      <c r="X6" s="29">
        <v>45873</v>
      </c>
      <c r="Y6" s="26">
        <v>216</v>
      </c>
      <c r="Z6" s="30">
        <v>0</v>
      </c>
      <c r="AA6" s="27" t="s">
        <v>19</v>
      </c>
      <c r="AB6" s="34" t="s">
        <v>364</v>
      </c>
      <c r="AC6" s="35">
        <v>5</v>
      </c>
      <c r="AD6" s="36" t="s">
        <v>39</v>
      </c>
      <c r="AE6" s="36" t="s">
        <v>365</v>
      </c>
      <c r="AF6" s="36" t="s">
        <v>366</v>
      </c>
    </row>
    <row r="7" spans="1:32" ht="30.75" thickBot="1" x14ac:dyDescent="0.3">
      <c r="A7" t="s">
        <v>328</v>
      </c>
      <c r="B7">
        <v>184</v>
      </c>
      <c r="C7">
        <v>183</v>
      </c>
      <c r="D7">
        <v>214</v>
      </c>
      <c r="E7">
        <v>217</v>
      </c>
      <c r="F7">
        <v>1</v>
      </c>
      <c r="M7" s="26" t="s">
        <v>375</v>
      </c>
      <c r="N7" s="27">
        <v>6</v>
      </c>
      <c r="O7" s="27">
        <v>0</v>
      </c>
      <c r="P7" s="26" t="s">
        <v>35</v>
      </c>
      <c r="Q7" s="26" t="s">
        <v>23</v>
      </c>
      <c r="R7" s="29">
        <v>45841</v>
      </c>
      <c r="S7" s="28">
        <v>184</v>
      </c>
      <c r="T7" s="29">
        <v>45840</v>
      </c>
      <c r="U7" s="27">
        <v>183</v>
      </c>
      <c r="V7" s="29">
        <v>45871</v>
      </c>
      <c r="W7" s="28">
        <v>214</v>
      </c>
      <c r="X7" s="29">
        <v>45874</v>
      </c>
      <c r="Y7" s="26">
        <v>217</v>
      </c>
      <c r="Z7" s="30">
        <v>1</v>
      </c>
      <c r="AA7" s="27" t="s">
        <v>19</v>
      </c>
      <c r="AB7" s="34" t="s">
        <v>364</v>
      </c>
      <c r="AC7" s="35">
        <v>6</v>
      </c>
      <c r="AD7" s="36" t="s">
        <v>23</v>
      </c>
      <c r="AE7" s="36" t="s">
        <v>35</v>
      </c>
      <c r="AF7" s="36" t="s">
        <v>369</v>
      </c>
    </row>
    <row r="8" spans="1:32" ht="45.75" thickBot="1" x14ac:dyDescent="0.3">
      <c r="A8" t="s">
        <v>329</v>
      </c>
      <c r="B8">
        <v>181</v>
      </c>
      <c r="C8" t="s">
        <v>19</v>
      </c>
      <c r="D8">
        <v>215</v>
      </c>
      <c r="E8" t="s">
        <v>19</v>
      </c>
      <c r="F8">
        <v>7</v>
      </c>
      <c r="M8" s="26" t="s">
        <v>376</v>
      </c>
      <c r="N8" s="27">
        <v>7</v>
      </c>
      <c r="O8" s="27">
        <v>0</v>
      </c>
      <c r="P8" s="26" t="s">
        <v>373</v>
      </c>
      <c r="Q8" s="26" t="s">
        <v>19</v>
      </c>
      <c r="R8" s="29">
        <v>45838</v>
      </c>
      <c r="S8" s="28">
        <v>181</v>
      </c>
      <c r="T8" s="27" t="s">
        <v>19</v>
      </c>
      <c r="U8" s="27" t="s">
        <v>19</v>
      </c>
      <c r="V8" s="29">
        <v>45872</v>
      </c>
      <c r="W8" s="28">
        <v>215</v>
      </c>
      <c r="X8" s="27" t="s">
        <v>19</v>
      </c>
      <c r="Y8" s="27" t="s">
        <v>19</v>
      </c>
      <c r="Z8" s="30">
        <v>7</v>
      </c>
      <c r="AA8" s="27" t="s">
        <v>19</v>
      </c>
      <c r="AB8" s="34" t="s">
        <v>364</v>
      </c>
      <c r="AC8" s="35">
        <v>7</v>
      </c>
      <c r="AD8" s="36" t="s">
        <v>371</v>
      </c>
      <c r="AE8" s="36" t="s">
        <v>43</v>
      </c>
      <c r="AF8" s="36" t="s">
        <v>366</v>
      </c>
    </row>
    <row r="9" spans="1:32" ht="45.75" thickBot="1" x14ac:dyDescent="0.3">
      <c r="A9" t="s">
        <v>330</v>
      </c>
      <c r="B9">
        <v>182</v>
      </c>
      <c r="C9">
        <v>185</v>
      </c>
      <c r="D9">
        <v>216</v>
      </c>
      <c r="E9">
        <v>218</v>
      </c>
      <c r="F9">
        <v>1</v>
      </c>
      <c r="M9" s="26" t="s">
        <v>377</v>
      </c>
      <c r="N9" s="27">
        <v>8</v>
      </c>
      <c r="O9" s="27">
        <v>0</v>
      </c>
      <c r="P9" s="26" t="s">
        <v>57</v>
      </c>
      <c r="Q9" s="26" t="s">
        <v>378</v>
      </c>
      <c r="R9" s="29">
        <v>45839</v>
      </c>
      <c r="S9" s="28">
        <v>182</v>
      </c>
      <c r="T9" s="29">
        <v>45842</v>
      </c>
      <c r="U9" s="27">
        <v>185</v>
      </c>
      <c r="V9" s="29">
        <v>45873</v>
      </c>
      <c r="W9" s="28">
        <v>216</v>
      </c>
      <c r="X9" s="29">
        <v>45875</v>
      </c>
      <c r="Y9" s="26">
        <v>218</v>
      </c>
      <c r="Z9" s="30">
        <v>1</v>
      </c>
      <c r="AA9" s="27" t="s">
        <v>19</v>
      </c>
      <c r="AB9" s="34" t="s">
        <v>364</v>
      </c>
      <c r="AC9" s="35">
        <v>8</v>
      </c>
      <c r="AD9" s="36" t="s">
        <v>44</v>
      </c>
      <c r="AE9" s="36" t="s">
        <v>57</v>
      </c>
      <c r="AF9" s="36" t="s">
        <v>369</v>
      </c>
    </row>
    <row r="10" spans="1:32" ht="45.75" thickBot="1" x14ac:dyDescent="0.3">
      <c r="A10" t="s">
        <v>331</v>
      </c>
      <c r="B10" t="s">
        <v>19</v>
      </c>
      <c r="C10">
        <v>181</v>
      </c>
      <c r="D10" t="s">
        <v>19</v>
      </c>
      <c r="E10">
        <v>214</v>
      </c>
      <c r="F10">
        <v>0</v>
      </c>
      <c r="M10" s="26" t="s">
        <v>379</v>
      </c>
      <c r="N10" s="27">
        <v>9</v>
      </c>
      <c r="O10" s="27">
        <v>0</v>
      </c>
      <c r="P10" s="26" t="s">
        <v>19</v>
      </c>
      <c r="Q10" s="26" t="s">
        <v>28</v>
      </c>
      <c r="R10" s="27" t="s">
        <v>19</v>
      </c>
      <c r="S10" s="28" t="s">
        <v>19</v>
      </c>
      <c r="T10" s="29">
        <v>45838</v>
      </c>
      <c r="U10" s="27">
        <v>181</v>
      </c>
      <c r="V10" s="27" t="s">
        <v>19</v>
      </c>
      <c r="W10" s="28" t="s">
        <v>19</v>
      </c>
      <c r="X10" s="29">
        <v>45871</v>
      </c>
      <c r="Y10" s="26">
        <v>214</v>
      </c>
      <c r="Z10" s="30">
        <v>0</v>
      </c>
      <c r="AA10" s="27" t="s">
        <v>19</v>
      </c>
      <c r="AB10" s="34" t="s">
        <v>364</v>
      </c>
      <c r="AC10" s="35">
        <v>9</v>
      </c>
      <c r="AD10" s="36" t="s">
        <v>28</v>
      </c>
      <c r="AE10" s="36" t="s">
        <v>365</v>
      </c>
      <c r="AF10" s="36" t="s">
        <v>366</v>
      </c>
    </row>
    <row r="11" spans="1:32" ht="30.75" thickBot="1" x14ac:dyDescent="0.3">
      <c r="A11" t="s">
        <v>332</v>
      </c>
      <c r="B11">
        <v>182</v>
      </c>
      <c r="C11">
        <v>182</v>
      </c>
      <c r="D11">
        <v>216</v>
      </c>
      <c r="E11">
        <v>218</v>
      </c>
      <c r="F11">
        <v>1</v>
      </c>
      <c r="M11" s="26" t="s">
        <v>380</v>
      </c>
      <c r="N11" s="27">
        <v>10</v>
      </c>
      <c r="O11" s="27">
        <v>0</v>
      </c>
      <c r="P11" s="26" t="s">
        <v>57</v>
      </c>
      <c r="Q11" s="26" t="s">
        <v>381</v>
      </c>
      <c r="R11" s="29">
        <v>45839</v>
      </c>
      <c r="S11" s="28">
        <v>182</v>
      </c>
      <c r="T11" s="29">
        <v>45839</v>
      </c>
      <c r="U11" s="27">
        <v>182</v>
      </c>
      <c r="V11" s="29">
        <v>45873</v>
      </c>
      <c r="W11" s="28">
        <v>216</v>
      </c>
      <c r="X11" s="29">
        <v>45875</v>
      </c>
      <c r="Y11" s="26">
        <v>218</v>
      </c>
      <c r="Z11" s="30">
        <v>1</v>
      </c>
      <c r="AA11" s="27" t="s">
        <v>19</v>
      </c>
      <c r="AB11" s="34" t="s">
        <v>364</v>
      </c>
      <c r="AC11" s="35">
        <v>10</v>
      </c>
      <c r="AD11" s="36" t="s">
        <v>18</v>
      </c>
      <c r="AE11" s="36" t="s">
        <v>57</v>
      </c>
      <c r="AF11" s="36" t="s">
        <v>369</v>
      </c>
    </row>
    <row r="12" spans="1:32" ht="45.75" thickBot="1" x14ac:dyDescent="0.3">
      <c r="A12" t="s">
        <v>333</v>
      </c>
      <c r="B12" t="s">
        <v>19</v>
      </c>
      <c r="C12">
        <v>183</v>
      </c>
      <c r="D12" t="s">
        <v>19</v>
      </c>
      <c r="E12">
        <v>216</v>
      </c>
      <c r="F12">
        <v>0</v>
      </c>
      <c r="M12" s="26" t="s">
        <v>382</v>
      </c>
      <c r="N12" s="27">
        <v>1</v>
      </c>
      <c r="O12" s="27">
        <v>41</v>
      </c>
      <c r="P12" s="26" t="s">
        <v>19</v>
      </c>
      <c r="Q12" s="26" t="s">
        <v>378</v>
      </c>
      <c r="R12" s="27" t="s">
        <v>19</v>
      </c>
      <c r="S12" s="28" t="s">
        <v>19</v>
      </c>
      <c r="T12" s="29">
        <v>45840</v>
      </c>
      <c r="U12" s="27">
        <v>183</v>
      </c>
      <c r="V12" s="29" t="s">
        <v>19</v>
      </c>
      <c r="W12" s="28" t="s">
        <v>19</v>
      </c>
      <c r="X12" s="29">
        <v>45873</v>
      </c>
      <c r="Y12" s="26">
        <v>216</v>
      </c>
      <c r="Z12" s="30">
        <v>0</v>
      </c>
      <c r="AA12" s="27" t="s">
        <v>19</v>
      </c>
      <c r="AB12" s="34" t="s">
        <v>364</v>
      </c>
      <c r="AC12" s="35">
        <v>11</v>
      </c>
      <c r="AD12" s="36" t="s">
        <v>44</v>
      </c>
      <c r="AE12" s="36" t="s">
        <v>365</v>
      </c>
      <c r="AF12" s="36" t="s">
        <v>366</v>
      </c>
    </row>
    <row r="13" spans="1:32" ht="30.75" thickBot="1" x14ac:dyDescent="0.3">
      <c r="A13" t="s">
        <v>334</v>
      </c>
      <c r="B13">
        <v>181</v>
      </c>
      <c r="C13">
        <v>185</v>
      </c>
      <c r="D13">
        <v>214</v>
      </c>
      <c r="E13">
        <v>217</v>
      </c>
      <c r="F13">
        <v>1</v>
      </c>
      <c r="M13" s="26" t="s">
        <v>383</v>
      </c>
      <c r="N13" s="27">
        <v>2</v>
      </c>
      <c r="O13" s="27">
        <v>41</v>
      </c>
      <c r="P13" s="26" t="s">
        <v>373</v>
      </c>
      <c r="Q13" s="26" t="s">
        <v>381</v>
      </c>
      <c r="R13" s="29">
        <v>45838</v>
      </c>
      <c r="S13" s="28">
        <v>181</v>
      </c>
      <c r="T13" s="29">
        <v>45842</v>
      </c>
      <c r="U13" s="27">
        <v>185</v>
      </c>
      <c r="V13" s="29">
        <v>45871</v>
      </c>
      <c r="W13" s="28">
        <v>214</v>
      </c>
      <c r="X13" s="29">
        <v>45874</v>
      </c>
      <c r="Y13" s="26">
        <v>217</v>
      </c>
      <c r="Z13" s="30">
        <v>1</v>
      </c>
      <c r="AA13" s="27" t="s">
        <v>19</v>
      </c>
      <c r="AB13" s="34" t="s">
        <v>364</v>
      </c>
      <c r="AC13" s="35">
        <v>12</v>
      </c>
      <c r="AD13" s="36" t="s">
        <v>18</v>
      </c>
      <c r="AE13" s="36" t="s">
        <v>43</v>
      </c>
      <c r="AF13" s="36" t="s">
        <v>369</v>
      </c>
    </row>
    <row r="14" spans="1:32" ht="45.75" thickBot="1" x14ac:dyDescent="0.3">
      <c r="A14" t="s">
        <v>335</v>
      </c>
      <c r="B14">
        <v>185</v>
      </c>
      <c r="C14" t="s">
        <v>19</v>
      </c>
      <c r="D14">
        <v>219</v>
      </c>
      <c r="E14" t="s">
        <v>19</v>
      </c>
      <c r="F14">
        <v>6</v>
      </c>
      <c r="M14" s="26" t="s">
        <v>384</v>
      </c>
      <c r="N14" s="27">
        <v>3</v>
      </c>
      <c r="O14" s="27">
        <v>41</v>
      </c>
      <c r="P14" s="26" t="s">
        <v>368</v>
      </c>
      <c r="Q14" s="26" t="s">
        <v>19</v>
      </c>
      <c r="R14" s="29">
        <v>45842</v>
      </c>
      <c r="S14" s="28">
        <v>185</v>
      </c>
      <c r="T14" s="27" t="s">
        <v>19</v>
      </c>
      <c r="U14" s="27" t="s">
        <v>19</v>
      </c>
      <c r="V14" s="29">
        <v>45876</v>
      </c>
      <c r="W14" s="28">
        <v>219</v>
      </c>
      <c r="X14" s="27" t="s">
        <v>19</v>
      </c>
      <c r="Y14" s="27" t="s">
        <v>19</v>
      </c>
      <c r="Z14" s="30">
        <v>6</v>
      </c>
      <c r="AA14" s="27" t="s">
        <v>19</v>
      </c>
      <c r="AB14" s="34" t="s">
        <v>364</v>
      </c>
      <c r="AC14" s="35">
        <v>13</v>
      </c>
      <c r="AD14" s="36" t="s">
        <v>371</v>
      </c>
      <c r="AE14" s="36" t="s">
        <v>27</v>
      </c>
      <c r="AF14" s="36" t="s">
        <v>366</v>
      </c>
    </row>
    <row r="15" spans="1:32" ht="30.75" thickBot="1" x14ac:dyDescent="0.3">
      <c r="A15" t="s">
        <v>336</v>
      </c>
      <c r="B15">
        <v>185</v>
      </c>
      <c r="C15">
        <v>180</v>
      </c>
      <c r="D15">
        <v>217</v>
      </c>
      <c r="E15">
        <v>216</v>
      </c>
      <c r="F15">
        <v>2</v>
      </c>
      <c r="M15" s="26" t="s">
        <v>385</v>
      </c>
      <c r="N15" s="27">
        <v>4</v>
      </c>
      <c r="O15" s="27">
        <v>41</v>
      </c>
      <c r="P15" s="26" t="s">
        <v>35</v>
      </c>
      <c r="Q15" s="26" t="s">
        <v>39</v>
      </c>
      <c r="R15" s="29">
        <v>45842</v>
      </c>
      <c r="S15" s="28">
        <v>185</v>
      </c>
      <c r="T15" s="29">
        <v>45837</v>
      </c>
      <c r="U15" s="27">
        <v>180</v>
      </c>
      <c r="V15" s="29">
        <v>45874</v>
      </c>
      <c r="W15" s="28">
        <v>217</v>
      </c>
      <c r="X15" s="29">
        <v>45873</v>
      </c>
      <c r="Y15" s="26">
        <v>216</v>
      </c>
      <c r="Z15" s="30">
        <v>2</v>
      </c>
      <c r="AA15" s="27" t="s">
        <v>19</v>
      </c>
      <c r="AB15" s="34" t="s">
        <v>364</v>
      </c>
      <c r="AC15" s="35">
        <v>14</v>
      </c>
      <c r="AD15" s="36" t="s">
        <v>39</v>
      </c>
      <c r="AE15" s="36" t="s">
        <v>35</v>
      </c>
      <c r="AF15" s="36" t="s">
        <v>369</v>
      </c>
    </row>
    <row r="16" spans="1:32" ht="45.75" thickBot="1" x14ac:dyDescent="0.3">
      <c r="A16" t="s">
        <v>337</v>
      </c>
      <c r="B16" t="s">
        <v>19</v>
      </c>
      <c r="C16">
        <v>184</v>
      </c>
      <c r="D16" t="s">
        <v>19</v>
      </c>
      <c r="E16">
        <v>217</v>
      </c>
      <c r="F16">
        <v>0</v>
      </c>
      <c r="M16" s="26" t="s">
        <v>386</v>
      </c>
      <c r="N16" s="27">
        <v>5</v>
      </c>
      <c r="O16" s="27">
        <v>41</v>
      </c>
      <c r="P16" s="26" t="s">
        <v>19</v>
      </c>
      <c r="Q16" s="26" t="s">
        <v>381</v>
      </c>
      <c r="R16" s="27" t="s">
        <v>19</v>
      </c>
      <c r="S16" s="28" t="s">
        <v>19</v>
      </c>
      <c r="T16" s="29">
        <v>45841</v>
      </c>
      <c r="U16" s="27">
        <v>184</v>
      </c>
      <c r="V16" s="27" t="s">
        <v>19</v>
      </c>
      <c r="W16" s="28" t="s">
        <v>19</v>
      </c>
      <c r="X16" s="29">
        <v>45874</v>
      </c>
      <c r="Y16" s="26">
        <v>217</v>
      </c>
      <c r="Z16" s="30">
        <v>0</v>
      </c>
      <c r="AA16" s="27" t="s">
        <v>19</v>
      </c>
      <c r="AB16" s="34" t="s">
        <v>364</v>
      </c>
      <c r="AC16" s="35">
        <v>15</v>
      </c>
      <c r="AD16" s="36" t="s">
        <v>18</v>
      </c>
      <c r="AE16" s="36" t="s">
        <v>365</v>
      </c>
      <c r="AF16" s="36" t="s">
        <v>366</v>
      </c>
    </row>
    <row r="17" spans="1:32" ht="45.75" thickBot="1" x14ac:dyDescent="0.3">
      <c r="A17" t="s">
        <v>338</v>
      </c>
      <c r="B17">
        <v>181</v>
      </c>
      <c r="C17">
        <v>185</v>
      </c>
      <c r="D17">
        <v>214</v>
      </c>
      <c r="E17">
        <v>218</v>
      </c>
      <c r="F17">
        <v>1</v>
      </c>
      <c r="M17" s="26" t="s">
        <v>387</v>
      </c>
      <c r="N17" s="27">
        <v>6</v>
      </c>
      <c r="O17" s="27">
        <v>41</v>
      </c>
      <c r="P17" s="26" t="s">
        <v>17</v>
      </c>
      <c r="Q17" s="26" t="s">
        <v>378</v>
      </c>
      <c r="R17" s="29">
        <v>45838</v>
      </c>
      <c r="S17" s="28">
        <v>181</v>
      </c>
      <c r="T17" s="29">
        <v>45842</v>
      </c>
      <c r="U17" s="27">
        <v>185</v>
      </c>
      <c r="V17" s="29">
        <v>45871</v>
      </c>
      <c r="W17" s="28">
        <v>214</v>
      </c>
      <c r="X17" s="29">
        <v>45875</v>
      </c>
      <c r="Y17" s="26">
        <v>218</v>
      </c>
      <c r="Z17" s="30">
        <v>1</v>
      </c>
      <c r="AA17" s="27" t="s">
        <v>19</v>
      </c>
      <c r="AB17" s="34" t="s">
        <v>364</v>
      </c>
      <c r="AC17" s="35">
        <v>16</v>
      </c>
      <c r="AD17" s="36" t="s">
        <v>44</v>
      </c>
      <c r="AE17" s="36" t="s">
        <v>17</v>
      </c>
      <c r="AF17" s="36" t="s">
        <v>369</v>
      </c>
    </row>
    <row r="18" spans="1:32" ht="45.75" thickBot="1" x14ac:dyDescent="0.3">
      <c r="A18" t="s">
        <v>339</v>
      </c>
      <c r="B18">
        <v>183</v>
      </c>
      <c r="C18" t="s">
        <v>19</v>
      </c>
      <c r="D18">
        <v>217</v>
      </c>
      <c r="E18" t="s">
        <v>19</v>
      </c>
      <c r="F18">
        <v>8</v>
      </c>
      <c r="M18" s="26" t="s">
        <v>388</v>
      </c>
      <c r="N18" s="27">
        <v>7</v>
      </c>
      <c r="O18" s="27">
        <v>41</v>
      </c>
      <c r="P18" s="26" t="s">
        <v>35</v>
      </c>
      <c r="Q18" s="26" t="s">
        <v>19</v>
      </c>
      <c r="R18" s="29">
        <v>45840</v>
      </c>
      <c r="S18" s="28">
        <v>183</v>
      </c>
      <c r="T18" s="27" t="s">
        <v>19</v>
      </c>
      <c r="U18" s="27" t="s">
        <v>19</v>
      </c>
      <c r="V18" s="29">
        <v>45874</v>
      </c>
      <c r="W18" s="28">
        <v>217</v>
      </c>
      <c r="X18" s="27" t="s">
        <v>19</v>
      </c>
      <c r="Y18" s="27" t="s">
        <v>19</v>
      </c>
      <c r="Z18" s="30">
        <v>8</v>
      </c>
      <c r="AA18" s="27" t="s">
        <v>19</v>
      </c>
      <c r="AB18" s="34" t="s">
        <v>364</v>
      </c>
      <c r="AC18" s="35">
        <v>17</v>
      </c>
      <c r="AD18" s="36" t="s">
        <v>371</v>
      </c>
      <c r="AE18" s="36" t="s">
        <v>35</v>
      </c>
      <c r="AF18" s="36" t="s">
        <v>366</v>
      </c>
    </row>
    <row r="19" spans="1:32" ht="30.75" thickBot="1" x14ac:dyDescent="0.3">
      <c r="A19" t="s">
        <v>340</v>
      </c>
      <c r="B19">
        <v>181</v>
      </c>
      <c r="C19">
        <v>182</v>
      </c>
      <c r="D19">
        <v>214</v>
      </c>
      <c r="E19">
        <v>216</v>
      </c>
      <c r="F19">
        <v>1</v>
      </c>
      <c r="M19" s="26" t="s">
        <v>389</v>
      </c>
      <c r="N19" s="27">
        <v>8</v>
      </c>
      <c r="O19" s="27">
        <v>41</v>
      </c>
      <c r="P19" s="26" t="s">
        <v>17</v>
      </c>
      <c r="Q19" s="26" t="s">
        <v>28</v>
      </c>
      <c r="R19" s="29">
        <v>45838</v>
      </c>
      <c r="S19" s="28">
        <v>181</v>
      </c>
      <c r="T19" s="29">
        <v>45839</v>
      </c>
      <c r="U19" s="27">
        <v>182</v>
      </c>
      <c r="V19" s="29">
        <v>45871</v>
      </c>
      <c r="W19" s="28">
        <v>214</v>
      </c>
      <c r="X19" s="29">
        <v>45873</v>
      </c>
      <c r="Y19" s="26">
        <v>216</v>
      </c>
      <c r="Z19" s="30">
        <v>1</v>
      </c>
      <c r="AA19" s="27" t="s">
        <v>19</v>
      </c>
      <c r="AB19" s="34" t="s">
        <v>364</v>
      </c>
      <c r="AC19" s="35">
        <v>18</v>
      </c>
      <c r="AD19" s="36" t="s">
        <v>28</v>
      </c>
      <c r="AE19" s="36" t="s">
        <v>17</v>
      </c>
      <c r="AF19" s="36" t="s">
        <v>369</v>
      </c>
    </row>
    <row r="20" spans="1:32" ht="45.75" thickBot="1" x14ac:dyDescent="0.3">
      <c r="A20" t="s">
        <v>341</v>
      </c>
      <c r="B20">
        <v>182</v>
      </c>
      <c r="C20" t="s">
        <v>19</v>
      </c>
      <c r="D20">
        <v>218</v>
      </c>
      <c r="E20" t="s">
        <v>19</v>
      </c>
      <c r="F20">
        <v>6</v>
      </c>
      <c r="M20" s="26" t="s">
        <v>390</v>
      </c>
      <c r="N20" s="27">
        <v>9</v>
      </c>
      <c r="O20" s="27">
        <v>41</v>
      </c>
      <c r="P20" s="26" t="s">
        <v>57</v>
      </c>
      <c r="Q20" s="26" t="s">
        <v>19</v>
      </c>
      <c r="R20" s="29">
        <v>45839</v>
      </c>
      <c r="S20" s="28">
        <v>182</v>
      </c>
      <c r="T20" s="27" t="s">
        <v>19</v>
      </c>
      <c r="U20" s="27" t="s">
        <v>19</v>
      </c>
      <c r="V20" s="29">
        <v>45875</v>
      </c>
      <c r="W20" s="28">
        <v>218</v>
      </c>
      <c r="X20" s="27" t="s">
        <v>19</v>
      </c>
      <c r="Y20" s="27" t="s">
        <v>19</v>
      </c>
      <c r="Z20" s="30">
        <v>6</v>
      </c>
      <c r="AA20" s="27" t="s">
        <v>19</v>
      </c>
      <c r="AB20" s="34" t="s">
        <v>364</v>
      </c>
      <c r="AC20" s="35">
        <v>19</v>
      </c>
      <c r="AD20" s="36" t="s">
        <v>371</v>
      </c>
      <c r="AE20" s="36" t="s">
        <v>57</v>
      </c>
      <c r="AF20" s="36" t="s">
        <v>366</v>
      </c>
    </row>
    <row r="21" spans="1:32" ht="30.75" thickBot="1" x14ac:dyDescent="0.3">
      <c r="A21" t="s">
        <v>342</v>
      </c>
      <c r="B21">
        <v>185</v>
      </c>
      <c r="C21">
        <v>186</v>
      </c>
      <c r="D21">
        <v>219</v>
      </c>
      <c r="E21">
        <v>219</v>
      </c>
      <c r="F21">
        <v>1</v>
      </c>
      <c r="M21" s="26" t="s">
        <v>391</v>
      </c>
      <c r="N21" s="27">
        <v>10</v>
      </c>
      <c r="O21" s="27">
        <v>41</v>
      </c>
      <c r="P21" s="26" t="s">
        <v>368</v>
      </c>
      <c r="Q21" s="26" t="s">
        <v>23</v>
      </c>
      <c r="R21" s="29">
        <v>45842</v>
      </c>
      <c r="S21" s="28">
        <v>185</v>
      </c>
      <c r="T21" s="29">
        <v>45843</v>
      </c>
      <c r="U21" s="27">
        <v>186</v>
      </c>
      <c r="V21" s="29">
        <v>45876</v>
      </c>
      <c r="W21" s="28">
        <v>219</v>
      </c>
      <c r="X21" s="29">
        <v>45876</v>
      </c>
      <c r="Y21" s="26">
        <v>219</v>
      </c>
      <c r="Z21" s="30">
        <v>1</v>
      </c>
      <c r="AA21" s="27" t="s">
        <v>19</v>
      </c>
      <c r="AB21" s="34" t="s">
        <v>364</v>
      </c>
      <c r="AC21" s="35">
        <v>20</v>
      </c>
      <c r="AD21" s="36" t="s">
        <v>23</v>
      </c>
      <c r="AE21" s="36" t="s">
        <v>27</v>
      </c>
      <c r="AF21" s="36" t="s">
        <v>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DB23-CB79-4251-B632-0A10D291359D}">
  <dimension ref="A1:AC600"/>
  <sheetViews>
    <sheetView workbookViewId="0">
      <selection activeCell="L36" sqref="L36"/>
    </sheetView>
  </sheetViews>
  <sheetFormatPr defaultRowHeight="15" x14ac:dyDescent="0.25"/>
  <cols>
    <col min="4" max="4" width="16.140625" bestFit="1" customWidth="1"/>
    <col min="5" max="5" width="16.42578125" bestFit="1" customWidth="1"/>
    <col min="12" max="29" width="9" customWidth="1"/>
  </cols>
  <sheetData>
    <row r="1" spans="1:29" ht="60.75" thickBot="1" x14ac:dyDescent="0.3">
      <c r="A1" s="37" t="s">
        <v>343</v>
      </c>
      <c r="B1" s="37" t="s">
        <v>344</v>
      </c>
      <c r="C1" s="37" t="s">
        <v>345</v>
      </c>
      <c r="D1" s="37" t="s">
        <v>346</v>
      </c>
      <c r="E1" s="37" t="s">
        <v>347</v>
      </c>
      <c r="F1" s="37" t="s">
        <v>392</v>
      </c>
      <c r="G1" s="37" t="s">
        <v>393</v>
      </c>
      <c r="H1" s="37" t="s">
        <v>394</v>
      </c>
      <c r="I1" s="37" t="s">
        <v>395</v>
      </c>
      <c r="J1" s="37" t="s">
        <v>396</v>
      </c>
      <c r="K1" s="37" t="s">
        <v>397</v>
      </c>
      <c r="L1" s="37" t="s">
        <v>398</v>
      </c>
      <c r="M1" s="37" t="s">
        <v>399</v>
      </c>
      <c r="N1" s="37" t="s">
        <v>400</v>
      </c>
      <c r="O1" s="37" t="s">
        <v>401</v>
      </c>
      <c r="P1" s="37" t="s">
        <v>402</v>
      </c>
      <c r="Q1" s="37" t="s">
        <v>403</v>
      </c>
      <c r="R1" s="37" t="s">
        <v>404</v>
      </c>
      <c r="S1" s="37" t="s">
        <v>405</v>
      </c>
      <c r="T1" s="37" t="s">
        <v>406</v>
      </c>
      <c r="U1" s="37" t="s">
        <v>407</v>
      </c>
      <c r="V1" s="37" t="s">
        <v>408</v>
      </c>
      <c r="W1" s="37" t="s">
        <v>409</v>
      </c>
      <c r="X1" s="37" t="s">
        <v>410</v>
      </c>
      <c r="Y1" s="37" t="s">
        <v>411</v>
      </c>
      <c r="Z1" s="37" t="s">
        <v>412</v>
      </c>
      <c r="AA1" s="37" t="s">
        <v>413</v>
      </c>
      <c r="AB1" s="37" t="s">
        <v>414</v>
      </c>
      <c r="AC1" s="37" t="s">
        <v>415</v>
      </c>
    </row>
    <row r="2" spans="1:29" ht="15.75" thickBot="1" x14ac:dyDescent="0.3">
      <c r="A2" s="38" t="s">
        <v>363</v>
      </c>
      <c r="B2" s="39">
        <v>1</v>
      </c>
      <c r="C2" s="39">
        <v>0</v>
      </c>
      <c r="D2" s="38" t="s">
        <v>19</v>
      </c>
      <c r="E2" s="38" t="s">
        <v>23</v>
      </c>
      <c r="F2" s="39">
        <v>0</v>
      </c>
      <c r="G2" s="39">
        <v>0</v>
      </c>
      <c r="H2" s="39">
        <v>0</v>
      </c>
      <c r="I2" s="39">
        <v>31</v>
      </c>
      <c r="J2" s="39">
        <v>18</v>
      </c>
      <c r="K2" s="39">
        <v>21</v>
      </c>
      <c r="L2" s="39">
        <v>0</v>
      </c>
      <c r="M2" s="39">
        <v>0</v>
      </c>
      <c r="N2" s="39">
        <v>0</v>
      </c>
      <c r="O2" s="39">
        <v>32</v>
      </c>
      <c r="P2" s="39">
        <v>26</v>
      </c>
      <c r="Q2" s="39">
        <v>30</v>
      </c>
      <c r="R2" s="39">
        <v>0</v>
      </c>
      <c r="S2" s="39">
        <v>0</v>
      </c>
      <c r="T2" s="39">
        <v>0</v>
      </c>
      <c r="U2" s="39">
        <v>83</v>
      </c>
      <c r="V2" s="39">
        <v>74</v>
      </c>
      <c r="W2" s="39">
        <v>78</v>
      </c>
      <c r="X2" s="39">
        <v>0</v>
      </c>
      <c r="Y2" s="39">
        <v>0</v>
      </c>
      <c r="Z2" s="39">
        <v>0</v>
      </c>
      <c r="AA2" s="39">
        <v>92</v>
      </c>
      <c r="AB2" s="39">
        <v>90</v>
      </c>
      <c r="AC2" s="39">
        <v>94</v>
      </c>
    </row>
    <row r="3" spans="1:29" ht="15.75" thickBot="1" x14ac:dyDescent="0.3">
      <c r="A3" s="38" t="s">
        <v>367</v>
      </c>
      <c r="B3" s="39">
        <v>2</v>
      </c>
      <c r="C3" s="39">
        <v>0</v>
      </c>
      <c r="D3" s="38" t="s">
        <v>368</v>
      </c>
      <c r="E3" s="38" t="s">
        <v>39</v>
      </c>
      <c r="F3" s="39">
        <v>6</v>
      </c>
      <c r="G3" s="39">
        <v>5</v>
      </c>
      <c r="H3" s="39">
        <v>6</v>
      </c>
      <c r="I3" s="39">
        <v>16</v>
      </c>
      <c r="J3" s="39">
        <v>8</v>
      </c>
      <c r="K3" s="39">
        <v>10</v>
      </c>
      <c r="L3" s="39">
        <v>22</v>
      </c>
      <c r="M3" s="39">
        <v>20</v>
      </c>
      <c r="N3" s="39">
        <v>19</v>
      </c>
      <c r="O3" s="39">
        <v>28</v>
      </c>
      <c r="P3" s="39">
        <v>27</v>
      </c>
      <c r="Q3" s="39">
        <v>26</v>
      </c>
      <c r="R3" s="39">
        <v>63</v>
      </c>
      <c r="S3" s="39">
        <v>63</v>
      </c>
      <c r="T3" s="39">
        <v>60</v>
      </c>
      <c r="U3" s="39">
        <v>73</v>
      </c>
      <c r="V3" s="39">
        <v>72</v>
      </c>
      <c r="W3" s="39">
        <v>75</v>
      </c>
      <c r="X3" s="39">
        <v>64</v>
      </c>
      <c r="Y3" s="39">
        <v>62</v>
      </c>
      <c r="Z3" s="39">
        <v>67</v>
      </c>
      <c r="AA3" s="39">
        <v>80</v>
      </c>
      <c r="AB3" s="39">
        <v>76</v>
      </c>
      <c r="AC3" s="39">
        <v>83</v>
      </c>
    </row>
    <row r="4" spans="1:29" ht="15.75" thickBot="1" x14ac:dyDescent="0.3">
      <c r="A4" s="38" t="s">
        <v>370</v>
      </c>
      <c r="B4" s="39">
        <v>3</v>
      </c>
      <c r="C4" s="39">
        <v>0</v>
      </c>
      <c r="D4" s="38" t="s">
        <v>17</v>
      </c>
      <c r="E4" s="38" t="s">
        <v>19</v>
      </c>
      <c r="F4" s="39">
        <v>8</v>
      </c>
      <c r="G4" s="39">
        <v>9</v>
      </c>
      <c r="H4" s="39">
        <v>10</v>
      </c>
      <c r="I4" s="39">
        <v>0</v>
      </c>
      <c r="J4" s="39">
        <v>0</v>
      </c>
      <c r="K4" s="39">
        <v>0</v>
      </c>
      <c r="L4" s="39">
        <v>15</v>
      </c>
      <c r="M4" s="39">
        <v>21</v>
      </c>
      <c r="N4" s="39">
        <v>20</v>
      </c>
      <c r="O4" s="39">
        <v>0</v>
      </c>
      <c r="P4" s="39">
        <v>0</v>
      </c>
      <c r="Q4" s="39">
        <v>0</v>
      </c>
      <c r="R4" s="39">
        <v>56</v>
      </c>
      <c r="S4" s="39">
        <v>54</v>
      </c>
      <c r="T4" s="39">
        <v>63</v>
      </c>
      <c r="U4" s="39">
        <v>0</v>
      </c>
      <c r="V4" s="39">
        <v>0</v>
      </c>
      <c r="W4" s="39">
        <v>0</v>
      </c>
      <c r="X4" s="39">
        <v>46</v>
      </c>
      <c r="Y4" s="39">
        <v>60</v>
      </c>
      <c r="Z4" s="39">
        <v>65</v>
      </c>
      <c r="AA4" s="39">
        <v>0</v>
      </c>
      <c r="AB4" s="39">
        <v>0</v>
      </c>
      <c r="AC4" s="39">
        <v>0</v>
      </c>
    </row>
    <row r="5" spans="1:29" ht="15.75" thickBot="1" x14ac:dyDescent="0.3">
      <c r="A5" s="38" t="s">
        <v>372</v>
      </c>
      <c r="B5" s="39">
        <v>4</v>
      </c>
      <c r="C5" s="39">
        <v>0</v>
      </c>
      <c r="D5" s="38" t="s">
        <v>373</v>
      </c>
      <c r="E5" s="38" t="s">
        <v>28</v>
      </c>
      <c r="F5" s="39">
        <v>2</v>
      </c>
      <c r="G5" s="39">
        <v>4</v>
      </c>
      <c r="H5" s="39">
        <v>3</v>
      </c>
      <c r="I5" s="39">
        <v>13</v>
      </c>
      <c r="J5" s="39">
        <v>14</v>
      </c>
      <c r="K5" s="39">
        <v>10</v>
      </c>
      <c r="L5" s="39">
        <v>22</v>
      </c>
      <c r="M5" s="39">
        <v>18</v>
      </c>
      <c r="N5" s="39">
        <v>16</v>
      </c>
      <c r="O5" s="39">
        <v>24</v>
      </c>
      <c r="P5" s="39">
        <v>26</v>
      </c>
      <c r="Q5" s="39">
        <v>23</v>
      </c>
      <c r="R5" s="39">
        <v>55</v>
      </c>
      <c r="S5" s="39">
        <v>53</v>
      </c>
      <c r="T5" s="39">
        <v>48</v>
      </c>
      <c r="U5" s="39">
        <v>80</v>
      </c>
      <c r="V5" s="39">
        <v>83</v>
      </c>
      <c r="W5" s="39">
        <v>78</v>
      </c>
      <c r="X5" s="39">
        <v>44</v>
      </c>
      <c r="Y5" s="39">
        <v>46</v>
      </c>
      <c r="Z5" s="39">
        <v>48</v>
      </c>
      <c r="AA5" s="39">
        <v>85</v>
      </c>
      <c r="AB5" s="39">
        <v>88</v>
      </c>
      <c r="AC5" s="39">
        <v>90</v>
      </c>
    </row>
    <row r="6" spans="1:29" ht="15.75" thickBot="1" x14ac:dyDescent="0.3">
      <c r="A6" s="38" t="s">
        <v>374</v>
      </c>
      <c r="B6" s="39">
        <v>5</v>
      </c>
      <c r="C6" s="39">
        <v>0</v>
      </c>
      <c r="D6" s="38" t="s">
        <v>19</v>
      </c>
      <c r="E6" s="38" t="s">
        <v>39</v>
      </c>
      <c r="F6" s="39">
        <v>0</v>
      </c>
      <c r="G6" s="39">
        <v>0</v>
      </c>
      <c r="H6" s="39">
        <v>0</v>
      </c>
      <c r="I6" s="39">
        <v>30</v>
      </c>
      <c r="J6" s="39">
        <v>31</v>
      </c>
      <c r="K6" s="39">
        <v>22</v>
      </c>
      <c r="L6" s="39">
        <v>0</v>
      </c>
      <c r="M6" s="39">
        <v>0</v>
      </c>
      <c r="N6" s="39">
        <v>0</v>
      </c>
      <c r="O6" s="39">
        <v>26</v>
      </c>
      <c r="P6" s="39">
        <v>29</v>
      </c>
      <c r="Q6" s="39">
        <v>25</v>
      </c>
      <c r="R6" s="39">
        <v>0</v>
      </c>
      <c r="S6" s="39">
        <v>0</v>
      </c>
      <c r="T6" s="39">
        <v>0</v>
      </c>
      <c r="U6" s="39">
        <v>72</v>
      </c>
      <c r="V6" s="39">
        <v>73</v>
      </c>
      <c r="W6" s="39">
        <v>77</v>
      </c>
      <c r="X6" s="39">
        <v>0</v>
      </c>
      <c r="Y6" s="39">
        <v>0</v>
      </c>
      <c r="Z6" s="39">
        <v>0</v>
      </c>
      <c r="AA6" s="39">
        <v>75</v>
      </c>
      <c r="AB6" s="39">
        <v>80</v>
      </c>
      <c r="AC6" s="39">
        <v>80</v>
      </c>
    </row>
    <row r="7" spans="1:29" ht="15.75" thickBot="1" x14ac:dyDescent="0.3">
      <c r="A7" s="38" t="s">
        <v>375</v>
      </c>
      <c r="B7" s="39">
        <v>6</v>
      </c>
      <c r="C7" s="39">
        <v>0</v>
      </c>
      <c r="D7" s="38" t="s">
        <v>35</v>
      </c>
      <c r="E7" s="38" t="s">
        <v>23</v>
      </c>
      <c r="F7" s="39">
        <v>9</v>
      </c>
      <c r="G7" s="39">
        <v>8</v>
      </c>
      <c r="H7" s="39">
        <v>7</v>
      </c>
      <c r="I7" s="39">
        <v>9</v>
      </c>
      <c r="J7" s="39">
        <v>18</v>
      </c>
      <c r="K7" s="39">
        <v>16</v>
      </c>
      <c r="L7" s="39">
        <v>18</v>
      </c>
      <c r="M7" s="39">
        <v>20</v>
      </c>
      <c r="N7" s="39">
        <v>20</v>
      </c>
      <c r="O7" s="39">
        <v>22</v>
      </c>
      <c r="P7" s="39">
        <v>30</v>
      </c>
      <c r="Q7" s="39">
        <v>34</v>
      </c>
      <c r="R7" s="39">
        <v>57</v>
      </c>
      <c r="S7" s="39">
        <v>64</v>
      </c>
      <c r="T7" s="39">
        <v>64</v>
      </c>
      <c r="U7" s="39">
        <v>80</v>
      </c>
      <c r="V7" s="39">
        <v>82</v>
      </c>
      <c r="W7" s="39">
        <v>83</v>
      </c>
      <c r="X7" s="39">
        <v>56</v>
      </c>
      <c r="Y7" s="39">
        <v>63</v>
      </c>
      <c r="Z7" s="39">
        <v>64</v>
      </c>
      <c r="AA7" s="39">
        <v>95</v>
      </c>
      <c r="AB7" s="39">
        <v>94</v>
      </c>
      <c r="AC7" s="39">
        <v>101</v>
      </c>
    </row>
    <row r="8" spans="1:29" ht="15.75" thickBot="1" x14ac:dyDescent="0.3">
      <c r="A8" s="38" t="s">
        <v>376</v>
      </c>
      <c r="B8" s="39">
        <v>7</v>
      </c>
      <c r="C8" s="39">
        <v>0</v>
      </c>
      <c r="D8" s="38" t="s">
        <v>373</v>
      </c>
      <c r="E8" s="38" t="s">
        <v>19</v>
      </c>
      <c r="F8" s="39">
        <v>15</v>
      </c>
      <c r="G8" s="39">
        <v>12</v>
      </c>
      <c r="H8" s="39">
        <v>11</v>
      </c>
      <c r="I8" s="39">
        <v>0</v>
      </c>
      <c r="J8" s="39">
        <v>0</v>
      </c>
      <c r="K8" s="39">
        <v>0</v>
      </c>
      <c r="L8" s="39">
        <v>19</v>
      </c>
      <c r="M8" s="39">
        <v>19</v>
      </c>
      <c r="N8" s="39">
        <v>17</v>
      </c>
      <c r="O8" s="39">
        <v>0</v>
      </c>
      <c r="P8" s="39">
        <v>0</v>
      </c>
      <c r="Q8" s="39">
        <v>0</v>
      </c>
      <c r="R8" s="39">
        <v>62</v>
      </c>
      <c r="S8" s="39">
        <v>64</v>
      </c>
      <c r="T8" s="39">
        <v>66</v>
      </c>
      <c r="U8" s="39">
        <v>0</v>
      </c>
      <c r="V8" s="39">
        <v>0</v>
      </c>
      <c r="W8" s="39">
        <v>0</v>
      </c>
      <c r="X8" s="39">
        <v>60</v>
      </c>
      <c r="Y8" s="39">
        <v>70</v>
      </c>
      <c r="Z8" s="39">
        <v>68</v>
      </c>
      <c r="AA8" s="39">
        <v>0</v>
      </c>
      <c r="AB8" s="39">
        <v>0</v>
      </c>
      <c r="AC8" s="39">
        <v>0</v>
      </c>
    </row>
    <row r="9" spans="1:29" ht="15.75" thickBot="1" x14ac:dyDescent="0.3">
      <c r="A9" s="38" t="s">
        <v>377</v>
      </c>
      <c r="B9" s="39">
        <v>8</v>
      </c>
      <c r="C9" s="39">
        <v>0</v>
      </c>
      <c r="D9" s="38" t="s">
        <v>57</v>
      </c>
      <c r="E9" s="38" t="s">
        <v>378</v>
      </c>
      <c r="F9" s="39">
        <v>5</v>
      </c>
      <c r="G9" s="39">
        <v>4</v>
      </c>
      <c r="H9" s="39">
        <v>5</v>
      </c>
      <c r="I9" s="39">
        <v>10</v>
      </c>
      <c r="J9" s="39">
        <v>11</v>
      </c>
      <c r="K9" s="39">
        <v>10</v>
      </c>
      <c r="L9" s="39">
        <v>19</v>
      </c>
      <c r="M9" s="39">
        <v>19</v>
      </c>
      <c r="N9" s="39">
        <v>21</v>
      </c>
      <c r="O9" s="39">
        <v>28</v>
      </c>
      <c r="P9" s="39">
        <v>28</v>
      </c>
      <c r="Q9" s="39">
        <v>32</v>
      </c>
      <c r="R9" s="39">
        <v>66</v>
      </c>
      <c r="S9" s="39">
        <v>7</v>
      </c>
      <c r="T9" s="39">
        <v>70</v>
      </c>
      <c r="U9" s="39">
        <v>90</v>
      </c>
      <c r="V9" s="39">
        <v>94</v>
      </c>
      <c r="W9" s="39">
        <v>96</v>
      </c>
      <c r="X9" s="39">
        <v>63</v>
      </c>
      <c r="Y9" s="39">
        <v>70</v>
      </c>
      <c r="Z9" s="39">
        <v>65</v>
      </c>
      <c r="AA9" s="39">
        <v>109</v>
      </c>
      <c r="AB9" s="39">
        <v>111</v>
      </c>
      <c r="AC9" s="39">
        <v>110</v>
      </c>
    </row>
    <row r="10" spans="1:29" ht="15.75" thickBot="1" x14ac:dyDescent="0.3">
      <c r="A10" s="38" t="s">
        <v>379</v>
      </c>
      <c r="B10" s="39">
        <v>9</v>
      </c>
      <c r="C10" s="39">
        <v>0</v>
      </c>
      <c r="D10" s="38" t="s">
        <v>19</v>
      </c>
      <c r="E10" s="38" t="s">
        <v>28</v>
      </c>
      <c r="F10" s="39">
        <v>0</v>
      </c>
      <c r="G10" s="39">
        <v>0</v>
      </c>
      <c r="H10" s="39">
        <v>0</v>
      </c>
      <c r="I10" s="39">
        <v>31</v>
      </c>
      <c r="J10" s="39">
        <v>25</v>
      </c>
      <c r="K10" s="39">
        <v>30</v>
      </c>
      <c r="L10" s="39">
        <v>0</v>
      </c>
      <c r="M10" s="39">
        <v>0</v>
      </c>
      <c r="N10" s="39">
        <v>0</v>
      </c>
      <c r="O10" s="39">
        <v>32</v>
      </c>
      <c r="P10" s="39">
        <v>31</v>
      </c>
      <c r="Q10" s="39">
        <v>21</v>
      </c>
      <c r="R10" s="39">
        <v>0</v>
      </c>
      <c r="S10" s="39">
        <v>0</v>
      </c>
      <c r="T10" s="39">
        <v>0</v>
      </c>
      <c r="U10" s="39">
        <v>89</v>
      </c>
      <c r="V10" s="39">
        <v>85</v>
      </c>
      <c r="W10" s="39">
        <v>83</v>
      </c>
      <c r="X10" s="39">
        <v>0</v>
      </c>
      <c r="Y10" s="39">
        <v>0</v>
      </c>
      <c r="Z10" s="39">
        <v>0</v>
      </c>
      <c r="AA10" s="39">
        <v>90</v>
      </c>
      <c r="AB10" s="39">
        <v>86</v>
      </c>
      <c r="AC10" s="39">
        <v>92</v>
      </c>
    </row>
    <row r="11" spans="1:29" ht="15.75" thickBot="1" x14ac:dyDescent="0.3">
      <c r="A11" s="38" t="s">
        <v>380</v>
      </c>
      <c r="B11" s="39">
        <v>10</v>
      </c>
      <c r="C11" s="39">
        <v>0</v>
      </c>
      <c r="D11" s="38" t="s">
        <v>57</v>
      </c>
      <c r="E11" s="38" t="s">
        <v>381</v>
      </c>
      <c r="F11" s="39">
        <v>7</v>
      </c>
      <c r="G11" s="39">
        <v>7</v>
      </c>
      <c r="H11" s="39">
        <v>5</v>
      </c>
      <c r="I11" s="39">
        <v>14</v>
      </c>
      <c r="J11" s="39">
        <v>14</v>
      </c>
      <c r="K11" s="39">
        <v>15</v>
      </c>
      <c r="L11" s="39">
        <v>19</v>
      </c>
      <c r="M11" s="39">
        <v>21</v>
      </c>
      <c r="N11" s="39">
        <v>19</v>
      </c>
      <c r="O11" s="39">
        <v>30</v>
      </c>
      <c r="P11" s="39">
        <v>27</v>
      </c>
      <c r="Q11" s="39">
        <v>27</v>
      </c>
      <c r="R11" s="39">
        <v>62</v>
      </c>
      <c r="S11" s="39">
        <v>66</v>
      </c>
      <c r="T11" s="39">
        <v>63</v>
      </c>
      <c r="U11" s="39">
        <v>85</v>
      </c>
      <c r="V11" s="39">
        <v>87</v>
      </c>
      <c r="W11" s="39">
        <v>83</v>
      </c>
      <c r="X11" s="39">
        <v>64</v>
      </c>
      <c r="Y11" s="39">
        <v>70</v>
      </c>
      <c r="Z11" s="39">
        <v>70</v>
      </c>
      <c r="AA11" s="39">
        <v>91</v>
      </c>
      <c r="AB11" s="39">
        <v>92</v>
      </c>
      <c r="AC11" s="39">
        <v>91</v>
      </c>
    </row>
    <row r="12" spans="1:29" ht="15.75" thickBot="1" x14ac:dyDescent="0.3">
      <c r="A12" s="38" t="s">
        <v>382</v>
      </c>
      <c r="B12" s="39">
        <v>1</v>
      </c>
      <c r="C12" s="39">
        <v>41</v>
      </c>
      <c r="D12" s="38" t="s">
        <v>19</v>
      </c>
      <c r="E12" s="38" t="s">
        <v>378</v>
      </c>
      <c r="F12" s="39">
        <v>0</v>
      </c>
      <c r="G12" s="39">
        <v>0</v>
      </c>
      <c r="H12" s="39">
        <v>0</v>
      </c>
      <c r="I12" s="39">
        <v>27</v>
      </c>
      <c r="J12" s="39">
        <v>28</v>
      </c>
      <c r="K12" s="39">
        <v>29</v>
      </c>
      <c r="L12" s="39">
        <v>0</v>
      </c>
      <c r="M12" s="39">
        <v>0</v>
      </c>
      <c r="N12" s="39">
        <v>0</v>
      </c>
      <c r="O12" s="39">
        <v>35</v>
      </c>
      <c r="P12" s="39">
        <v>35</v>
      </c>
      <c r="Q12" s="39">
        <v>35</v>
      </c>
      <c r="R12" s="39">
        <v>0</v>
      </c>
      <c r="S12" s="39">
        <v>0</v>
      </c>
      <c r="T12" s="39">
        <v>0</v>
      </c>
      <c r="U12" s="39">
        <v>100</v>
      </c>
      <c r="V12" s="39">
        <v>95</v>
      </c>
      <c r="W12" s="39">
        <v>103</v>
      </c>
      <c r="X12" s="39">
        <v>0</v>
      </c>
      <c r="Y12" s="39">
        <v>0</v>
      </c>
      <c r="Z12" s="39">
        <v>0</v>
      </c>
      <c r="AA12" s="39">
        <v>110</v>
      </c>
      <c r="AB12" s="39">
        <v>120</v>
      </c>
      <c r="AC12" s="39">
        <v>115</v>
      </c>
    </row>
    <row r="13" spans="1:29" ht="15.75" thickBot="1" x14ac:dyDescent="0.3">
      <c r="A13" s="38" t="s">
        <v>383</v>
      </c>
      <c r="B13" s="39">
        <v>2</v>
      </c>
      <c r="C13" s="39">
        <v>41</v>
      </c>
      <c r="D13" s="38" t="s">
        <v>373</v>
      </c>
      <c r="E13" s="38" t="s">
        <v>381</v>
      </c>
      <c r="F13" s="39">
        <v>6</v>
      </c>
      <c r="G13" s="39">
        <v>7</v>
      </c>
      <c r="H13" s="39">
        <v>6</v>
      </c>
      <c r="I13" s="39">
        <v>15</v>
      </c>
      <c r="J13" s="39">
        <v>13</v>
      </c>
      <c r="K13" s="39">
        <v>5</v>
      </c>
      <c r="L13" s="39">
        <v>24</v>
      </c>
      <c r="M13" s="39">
        <v>23</v>
      </c>
      <c r="N13" s="39">
        <v>20</v>
      </c>
      <c r="O13" s="39">
        <v>30</v>
      </c>
      <c r="P13" s="39">
        <v>28</v>
      </c>
      <c r="Q13" s="39">
        <v>29</v>
      </c>
      <c r="R13" s="39">
        <v>67</v>
      </c>
      <c r="S13" s="39">
        <v>65</v>
      </c>
      <c r="T13" s="39">
        <v>73</v>
      </c>
      <c r="U13" s="39">
        <v>90</v>
      </c>
      <c r="V13" s="39">
        <v>86</v>
      </c>
      <c r="W13" s="39">
        <v>86</v>
      </c>
      <c r="X13" s="39">
        <v>73</v>
      </c>
      <c r="Y13" s="39">
        <v>62</v>
      </c>
      <c r="Z13" s="39">
        <v>73</v>
      </c>
      <c r="AA13" s="39">
        <v>95</v>
      </c>
      <c r="AB13" s="39">
        <v>99</v>
      </c>
      <c r="AC13" s="39">
        <v>111</v>
      </c>
    </row>
    <row r="14" spans="1:29" ht="15.75" thickBot="1" x14ac:dyDescent="0.3">
      <c r="A14" s="38" t="s">
        <v>384</v>
      </c>
      <c r="B14" s="39">
        <v>3</v>
      </c>
      <c r="C14" s="39">
        <v>41</v>
      </c>
      <c r="D14" s="38" t="s">
        <v>368</v>
      </c>
      <c r="E14" s="38" t="s">
        <v>19</v>
      </c>
      <c r="F14" s="39">
        <v>11</v>
      </c>
      <c r="G14" s="39">
        <v>17</v>
      </c>
      <c r="H14" s="39">
        <v>13</v>
      </c>
      <c r="I14" s="39">
        <v>0</v>
      </c>
      <c r="J14" s="39">
        <v>0</v>
      </c>
      <c r="K14" s="39">
        <v>0</v>
      </c>
      <c r="L14" s="39">
        <v>21</v>
      </c>
      <c r="M14" s="39">
        <v>22</v>
      </c>
      <c r="N14" s="39">
        <v>21</v>
      </c>
      <c r="O14" s="39">
        <v>0</v>
      </c>
      <c r="P14" s="39">
        <v>0</v>
      </c>
      <c r="Q14" s="39">
        <v>0</v>
      </c>
      <c r="R14" s="39">
        <v>80</v>
      </c>
      <c r="S14" s="39">
        <v>75</v>
      </c>
      <c r="T14" s="39">
        <v>75</v>
      </c>
      <c r="U14" s="39">
        <v>0</v>
      </c>
      <c r="V14" s="39">
        <v>0</v>
      </c>
      <c r="W14" s="39">
        <v>0</v>
      </c>
      <c r="X14" s="39">
        <v>90</v>
      </c>
      <c r="Y14" s="39">
        <v>92</v>
      </c>
      <c r="Z14" s="39">
        <v>97</v>
      </c>
      <c r="AA14" s="39">
        <v>0</v>
      </c>
      <c r="AB14" s="39">
        <v>0</v>
      </c>
      <c r="AC14" s="39">
        <v>0</v>
      </c>
    </row>
    <row r="15" spans="1:29" ht="15.75" thickBot="1" x14ac:dyDescent="0.3">
      <c r="A15" s="38" t="s">
        <v>385</v>
      </c>
      <c r="B15" s="39">
        <v>4</v>
      </c>
      <c r="C15" s="39">
        <v>41</v>
      </c>
      <c r="D15" s="38" t="s">
        <v>35</v>
      </c>
      <c r="E15" s="38" t="s">
        <v>39</v>
      </c>
      <c r="F15" s="39">
        <v>8</v>
      </c>
      <c r="G15" s="39">
        <v>10</v>
      </c>
      <c r="H15" s="39">
        <v>8</v>
      </c>
      <c r="I15" s="39">
        <v>9</v>
      </c>
      <c r="J15" s="39">
        <v>13</v>
      </c>
      <c r="K15" s="39">
        <v>8</v>
      </c>
      <c r="L15" s="39">
        <v>24</v>
      </c>
      <c r="M15" s="39">
        <v>21</v>
      </c>
      <c r="N15" s="39">
        <v>20</v>
      </c>
      <c r="O15" s="39">
        <v>27</v>
      </c>
      <c r="P15" s="39">
        <v>27</v>
      </c>
      <c r="Q15" s="39">
        <v>27</v>
      </c>
      <c r="R15" s="39">
        <v>70</v>
      </c>
      <c r="S15" s="39">
        <v>74</v>
      </c>
      <c r="T15" s="39">
        <v>72</v>
      </c>
      <c r="U15" s="39">
        <v>80</v>
      </c>
      <c r="V15" s="39">
        <v>74</v>
      </c>
      <c r="W15" s="39">
        <v>78</v>
      </c>
      <c r="X15" s="39">
        <v>81</v>
      </c>
      <c r="Y15" s="39">
        <v>80</v>
      </c>
      <c r="Z15" s="39">
        <v>78</v>
      </c>
      <c r="AA15" s="39">
        <v>86</v>
      </c>
      <c r="AB15" s="39">
        <v>91</v>
      </c>
      <c r="AC15" s="39">
        <v>88</v>
      </c>
    </row>
    <row r="16" spans="1:29" ht="15.75" thickBot="1" x14ac:dyDescent="0.3">
      <c r="A16" s="38" t="s">
        <v>386</v>
      </c>
      <c r="B16" s="39">
        <v>5</v>
      </c>
      <c r="C16" s="39">
        <v>41</v>
      </c>
      <c r="D16" s="38" t="s">
        <v>19</v>
      </c>
      <c r="E16" s="38" t="s">
        <v>381</v>
      </c>
      <c r="F16" s="39">
        <v>0</v>
      </c>
      <c r="G16" s="39">
        <v>0</v>
      </c>
      <c r="H16" s="39">
        <v>0</v>
      </c>
      <c r="I16" s="39">
        <v>35</v>
      </c>
      <c r="J16" s="39">
        <v>33</v>
      </c>
      <c r="K16" s="39">
        <v>32</v>
      </c>
      <c r="L16" s="39">
        <v>0</v>
      </c>
      <c r="M16" s="39">
        <v>0</v>
      </c>
      <c r="N16" s="39">
        <v>0</v>
      </c>
      <c r="O16" s="39">
        <v>32</v>
      </c>
      <c r="P16" s="39">
        <v>28</v>
      </c>
      <c r="Q16" s="39">
        <v>30</v>
      </c>
      <c r="R16" s="39">
        <v>0</v>
      </c>
      <c r="S16" s="39">
        <v>0</v>
      </c>
      <c r="T16" s="39">
        <v>0</v>
      </c>
      <c r="U16" s="39">
        <v>90</v>
      </c>
      <c r="V16" s="39">
        <v>86</v>
      </c>
      <c r="W16" s="39">
        <v>89</v>
      </c>
      <c r="X16" s="39">
        <v>0</v>
      </c>
      <c r="Y16" s="39">
        <v>0</v>
      </c>
      <c r="Z16" s="39">
        <v>0</v>
      </c>
      <c r="AA16" s="39">
        <v>101</v>
      </c>
      <c r="AB16" s="39">
        <v>93</v>
      </c>
      <c r="AC16" s="39">
        <v>96</v>
      </c>
    </row>
    <row r="17" spans="1:29" ht="15.75" thickBot="1" x14ac:dyDescent="0.3">
      <c r="A17" s="38" t="s">
        <v>387</v>
      </c>
      <c r="B17" s="39">
        <v>6</v>
      </c>
      <c r="C17" s="39">
        <v>41</v>
      </c>
      <c r="D17" s="38" t="s">
        <v>17</v>
      </c>
      <c r="E17" s="38" t="s">
        <v>378</v>
      </c>
      <c r="F17" s="39">
        <v>4</v>
      </c>
      <c r="G17" s="39">
        <v>7</v>
      </c>
      <c r="H17" s="39">
        <v>4</v>
      </c>
      <c r="I17" s="39">
        <v>13</v>
      </c>
      <c r="J17" s="39">
        <v>6</v>
      </c>
      <c r="K17" s="39">
        <v>23</v>
      </c>
      <c r="L17" s="39">
        <v>21</v>
      </c>
      <c r="M17" s="39">
        <v>21</v>
      </c>
      <c r="N17" s="39">
        <v>23</v>
      </c>
      <c r="O17" s="39">
        <v>29</v>
      </c>
      <c r="P17" s="39">
        <v>26</v>
      </c>
      <c r="Q17" s="39">
        <v>31</v>
      </c>
      <c r="R17" s="39">
        <v>66</v>
      </c>
      <c r="S17" s="39">
        <v>70</v>
      </c>
      <c r="T17" s="39">
        <v>69</v>
      </c>
      <c r="U17" s="39">
        <v>96</v>
      </c>
      <c r="V17" s="39">
        <v>85</v>
      </c>
      <c r="W17" s="39">
        <v>93</v>
      </c>
      <c r="X17" s="39">
        <v>70</v>
      </c>
      <c r="Y17" s="39">
        <v>67</v>
      </c>
      <c r="Z17" s="39">
        <v>71</v>
      </c>
      <c r="AA17" s="39">
        <v>120</v>
      </c>
      <c r="AB17" s="39">
        <v>114</v>
      </c>
      <c r="AC17" s="39">
        <v>111</v>
      </c>
    </row>
    <row r="18" spans="1:29" ht="15.75" thickBot="1" x14ac:dyDescent="0.3">
      <c r="A18" s="38" t="s">
        <v>388</v>
      </c>
      <c r="B18" s="39">
        <v>7</v>
      </c>
      <c r="C18" s="39">
        <v>41</v>
      </c>
      <c r="D18" s="38" t="s">
        <v>35</v>
      </c>
      <c r="E18" s="38" t="s">
        <v>19</v>
      </c>
      <c r="F18" s="39">
        <v>13</v>
      </c>
      <c r="G18" s="39">
        <v>13</v>
      </c>
      <c r="H18" s="39">
        <v>8</v>
      </c>
      <c r="I18" s="39">
        <v>0</v>
      </c>
      <c r="J18" s="39">
        <v>0</v>
      </c>
      <c r="K18" s="39">
        <v>0</v>
      </c>
      <c r="L18" s="39">
        <v>19</v>
      </c>
      <c r="M18" s="39">
        <v>19</v>
      </c>
      <c r="N18" s="39">
        <v>21</v>
      </c>
      <c r="O18" s="39">
        <v>0</v>
      </c>
      <c r="P18" s="39">
        <v>0</v>
      </c>
      <c r="Q18" s="39">
        <v>0</v>
      </c>
      <c r="R18" s="39">
        <v>80</v>
      </c>
      <c r="S18" s="39">
        <v>74</v>
      </c>
      <c r="T18" s="39">
        <v>76</v>
      </c>
      <c r="U18" s="39">
        <v>0</v>
      </c>
      <c r="V18" s="39">
        <v>0</v>
      </c>
      <c r="W18" s="39">
        <v>0</v>
      </c>
      <c r="X18" s="39">
        <v>81</v>
      </c>
      <c r="Y18" s="39">
        <v>81</v>
      </c>
      <c r="Z18" s="39">
        <v>79</v>
      </c>
      <c r="AA18" s="39">
        <v>0</v>
      </c>
      <c r="AB18" s="39">
        <v>0</v>
      </c>
      <c r="AC18" s="39">
        <v>0</v>
      </c>
    </row>
    <row r="19" spans="1:29" ht="15.75" thickBot="1" x14ac:dyDescent="0.3">
      <c r="A19" s="38" t="s">
        <v>389</v>
      </c>
      <c r="B19" s="39">
        <v>8</v>
      </c>
      <c r="C19" s="39">
        <v>41</v>
      </c>
      <c r="D19" s="38" t="s">
        <v>17</v>
      </c>
      <c r="E19" s="38" t="s">
        <v>28</v>
      </c>
      <c r="F19" s="39">
        <v>7</v>
      </c>
      <c r="G19" s="39">
        <v>8</v>
      </c>
      <c r="H19" s="39">
        <v>6</v>
      </c>
      <c r="I19" s="39">
        <v>12</v>
      </c>
      <c r="J19" s="39">
        <v>8</v>
      </c>
      <c r="K19" s="39">
        <v>16</v>
      </c>
      <c r="L19" s="39">
        <v>21</v>
      </c>
      <c r="M19" s="39">
        <v>19</v>
      </c>
      <c r="N19" s="39">
        <v>21</v>
      </c>
      <c r="O19" s="39">
        <v>24</v>
      </c>
      <c r="P19" s="39">
        <v>23</v>
      </c>
      <c r="Q19" s="39">
        <v>24</v>
      </c>
      <c r="R19" s="39">
        <v>69</v>
      </c>
      <c r="S19" s="39">
        <v>67</v>
      </c>
      <c r="T19" s="39">
        <v>70</v>
      </c>
      <c r="U19" s="39">
        <v>91</v>
      </c>
      <c r="V19" s="39">
        <v>88</v>
      </c>
      <c r="W19" s="39">
        <v>92</v>
      </c>
      <c r="X19" s="39">
        <v>65</v>
      </c>
      <c r="Y19" s="39">
        <v>69</v>
      </c>
      <c r="Z19" s="39">
        <v>75</v>
      </c>
      <c r="AA19" s="39">
        <v>94</v>
      </c>
      <c r="AB19" s="39">
        <v>92</v>
      </c>
      <c r="AC19" s="39">
        <v>91</v>
      </c>
    </row>
    <row r="20" spans="1:29" ht="15.75" thickBot="1" x14ac:dyDescent="0.3">
      <c r="A20" s="38" t="s">
        <v>390</v>
      </c>
      <c r="B20" s="39">
        <v>9</v>
      </c>
      <c r="C20" s="39">
        <v>41</v>
      </c>
      <c r="D20" s="38" t="s">
        <v>57</v>
      </c>
      <c r="E20" s="38" t="s">
        <v>19</v>
      </c>
      <c r="F20" s="39">
        <v>13</v>
      </c>
      <c r="G20" s="39">
        <v>14</v>
      </c>
      <c r="H20" s="39">
        <v>8</v>
      </c>
      <c r="I20" s="39">
        <v>0</v>
      </c>
      <c r="J20" s="39">
        <v>0</v>
      </c>
      <c r="K20" s="39">
        <v>0</v>
      </c>
      <c r="L20" s="39">
        <v>25</v>
      </c>
      <c r="M20" s="39">
        <v>22</v>
      </c>
      <c r="N20" s="39">
        <v>21</v>
      </c>
      <c r="O20" s="39">
        <v>0</v>
      </c>
      <c r="P20" s="39">
        <v>0</v>
      </c>
      <c r="Q20" s="39">
        <v>0</v>
      </c>
      <c r="R20" s="39">
        <v>84</v>
      </c>
      <c r="S20" s="39">
        <v>75</v>
      </c>
      <c r="T20" s="39">
        <v>82</v>
      </c>
      <c r="U20" s="39">
        <v>0</v>
      </c>
      <c r="V20" s="39">
        <v>0</v>
      </c>
      <c r="W20" s="39">
        <v>0</v>
      </c>
      <c r="X20" s="39">
        <v>48</v>
      </c>
      <c r="Y20" s="39">
        <v>76</v>
      </c>
      <c r="Z20" s="39">
        <v>85</v>
      </c>
      <c r="AA20" s="39">
        <v>0</v>
      </c>
      <c r="AB20" s="39">
        <v>0</v>
      </c>
      <c r="AC20" s="39">
        <v>0</v>
      </c>
    </row>
    <row r="21" spans="1:29" ht="15.75" thickBot="1" x14ac:dyDescent="0.3">
      <c r="A21" s="38" t="s">
        <v>391</v>
      </c>
      <c r="B21" s="39">
        <v>10</v>
      </c>
      <c r="C21" s="39">
        <v>41</v>
      </c>
      <c r="D21" s="38" t="s">
        <v>368</v>
      </c>
      <c r="E21" s="38" t="s">
        <v>23</v>
      </c>
      <c r="F21" s="39">
        <v>7</v>
      </c>
      <c r="G21" s="39">
        <v>7</v>
      </c>
      <c r="H21" s="39">
        <v>7</v>
      </c>
      <c r="I21" s="39">
        <v>14</v>
      </c>
      <c r="J21" s="39">
        <v>14</v>
      </c>
      <c r="K21" s="39">
        <v>8</v>
      </c>
      <c r="L21" s="39">
        <v>22</v>
      </c>
      <c r="M21" s="39">
        <v>21</v>
      </c>
      <c r="N21" s="39">
        <v>21</v>
      </c>
      <c r="O21" s="39">
        <v>25</v>
      </c>
      <c r="P21" s="39">
        <v>23</v>
      </c>
      <c r="Q21" s="39">
        <v>25</v>
      </c>
      <c r="R21" s="39">
        <v>80</v>
      </c>
      <c r="S21" s="39">
        <v>75</v>
      </c>
      <c r="T21" s="39">
        <v>79</v>
      </c>
      <c r="U21" s="39">
        <v>78</v>
      </c>
      <c r="V21" s="39">
        <v>78</v>
      </c>
      <c r="W21" s="39">
        <v>83</v>
      </c>
      <c r="X21" s="39">
        <v>81</v>
      </c>
      <c r="Y21" s="39">
        <v>73</v>
      </c>
      <c r="Z21" s="39">
        <v>81</v>
      </c>
      <c r="AA21" s="39">
        <v>92</v>
      </c>
      <c r="AB21" s="39">
        <v>92</v>
      </c>
      <c r="AC21" s="39">
        <v>101</v>
      </c>
    </row>
    <row r="22" spans="1:29" ht="15.75" thickBo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thickBo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thickBo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thickBo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thickBo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thickBo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thickBo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thickBo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thickBo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thickBo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thickBo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thickBo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thickBo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thickBo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thickBo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thickBo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thickBo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thickBo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thickBo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thickBo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thickBo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thickBo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thickBo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thickBo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thickBo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thickBo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thickBo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thickBo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thickBo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thickBo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thickBo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thickBo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thickBo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thickBo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thickBo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thickBo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thickBo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thickBo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thickBo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thickBo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thickBo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thickBo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thickBo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thickBo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thickBo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thickBo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thickBo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thickBo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thickBo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thickBo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thickBo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thickBo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thickBo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thickBo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thickBo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thickBo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thickBo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thickBo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thickBo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thickBo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thickBo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thickBo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thickBo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thickBo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thickBo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thickBo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thickBo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thickBo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thickBo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thickBo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thickBo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thickBo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thickBo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thickBo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thickBo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thickBo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thickBo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thickBo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thickBo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thickBo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thickBo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thickBo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thickBo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thickBo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thickBo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thickBo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thickBo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thickBo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thickBo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thickBo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thickBo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thickBo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thickBo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thickBo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thickBo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thickBo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thickBo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thickBo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thickBo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thickBo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thickBo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thickBo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thickBo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thickBo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thickBo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thickBo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thickBo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thickBo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thickBo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thickBo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75" thickBo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75" thickBo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75" thickBo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75" thickBo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75" thickBo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75" thickBo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75" thickBo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75" thickBo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75" thickBo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75" thickBo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75" thickBo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75" thickBo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75" thickBo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75" thickBo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75" thickBo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75" thickBo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75" thickBo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.75" thickBo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75" thickBo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75" thickBo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75" thickBo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75" thickBo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75" thickBo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75" thickBo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75" thickBo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75" thickBo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.75" thickBo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75" thickBo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75" thickBo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75" thickBo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75" thickBo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75" thickBo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75" thickBo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75" thickBo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75" thickBo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75" thickBo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75" thickBo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75" thickBo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75" thickBo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75" thickBo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75" thickBo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75" thickBo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75" thickBo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75" thickBo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75" thickBo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75" thickBo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75" thickBo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75" thickBo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75" thickBo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75" thickBo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75" thickBo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75" thickBo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75" thickBo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75" thickBo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75" thickBo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75" thickBo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75" thickBo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75" thickBo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75" thickBo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75" thickBo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75" thickBo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75" thickBo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75" thickBo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75" thickBo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75" thickBo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75" thickBo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75" thickBo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75" thickBo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75" thickBo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75" thickBo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75" thickBo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75" thickBo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75" thickBo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75" thickBo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thickBo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thickBo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thickBo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thickBo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75" thickBo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75" thickBo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75" thickBo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75" thickBo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thickBo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thickBo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thickBo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thickBo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75" thickBo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75" thickBo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75" thickBo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75" thickBo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75" thickBo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75" thickBo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75" thickBo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75" thickBo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75" thickBo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75" thickBo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75" thickBo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75" thickBo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75" thickBo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75" thickBo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75" thickBo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75" thickBo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75" thickBo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75" thickBo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75" thickBo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75" thickBo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75" thickBo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75" thickBo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75" thickBo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75" thickBo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thickBo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thickBo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thickBo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thickBo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thickBo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thickBo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thickBo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thickBo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thickBo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thickBo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thickBo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thickBo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thickBo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thickBo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thickBo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thickBo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thickBo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thickBo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thickBo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thickBo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thickBo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thickBo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thickBo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thickBo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thickBo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thickBo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thickBo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thickBo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thickBo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thickBo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thickBo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thickBo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thickBo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thickBo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thickBo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thickBo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thickBo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thickBo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thickBo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thickBo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thickBo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thickBo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thickBo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thickBo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thickBo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thickBo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thickBo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thickBo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thickBo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thickBo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thickBo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thickBo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thickBo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thickBo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thickBo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thickBo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thickBo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thickBo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thickBo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thickBo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thickBo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thickBo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thickBo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thickBo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thickBo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thickBo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thickBo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thickBo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thickBo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thickBo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thickBo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thickBo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thickBo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thickBo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thickBo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thickBo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thickBo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thickBo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thickBo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thickBo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thickBo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thickBo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thickBo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thickBo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thickBo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thickBo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thickBo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thickBo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thickBo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thickBo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75" thickBo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75" thickBo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75" thickBo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75" thickBo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75" thickBo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thickBo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thickBo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thickBo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thickBo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thickBo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thickBo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thickBo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thickBo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thickBo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thickBo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thickBo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thickBo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thickBo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thickBo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thickBo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thickBo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thickBo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thickBo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thickBo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thickBo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thickBo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thickBo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thickBo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thickBo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thickBo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thickBo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thickBo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thickBo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thickBo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thickBo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thickBo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thickBo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thickBo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thickBo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75" thickBo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thickBo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thickBo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thickBo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75" thickBo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thickBo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thickBo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thickBo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thickBo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thickBo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thickBo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thickBo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thickBo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thickBo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thickBo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thickBo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thickBo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75" thickBo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thickBo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75" thickBo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thickBo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75" thickBo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thickBo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thickBo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thickBo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thickBo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thickBo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thickBo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thickBo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thickBo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thickBo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thickBo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thickBo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thickBo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thickBo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thickBo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thickBo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thickBo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thickBo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thickBo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thickBo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thickBo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thickBo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thickBo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thickBo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thickBo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thickBo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thickBo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thickBo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thickBo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thickBo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thickBo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thickBo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thickBo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thickBo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thickBo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thickBo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thickBo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thickBo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thickBo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thickBo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thickBo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thickBo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thickBo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thickBo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thickBo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thickBo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thickBo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thickBo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thickBo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thickBo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thickBo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thickBo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thickBo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thickBo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thickBo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thickBo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thickBo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thickBo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thickBo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thickBo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thickBo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thickBo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thickBo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thickBo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thickBo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thickBo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thickBo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thickBo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thickBo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thickBo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thickBo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thickBo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thickBo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thickBo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thickBo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thickBo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thickBo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thickBo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thickBo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thickBo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thickBo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thickBo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thickBo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thickBo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thickBo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thickBo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thickBo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thickBo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thickBo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thickBo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thickBo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thickBo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thickBo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thickBo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thickBo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thickBo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thickBo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thickBo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thickBo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thickBo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thickBo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thickBo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thickBo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thickBo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thickBo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thickBo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thickBo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thickBo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thickBo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thickBo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thickBo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thickBo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thickBo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thickBo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thickBo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thickBo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thickBo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thickBo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thickBo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thickBo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thickBo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thickBo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thickBo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thickBo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thickBo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thickBo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thickBo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thickBo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thickBo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thickBo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thickBo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thickBo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thickBo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thickBo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thickBo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thickBo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thickBo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thickBo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thickBo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thickBo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thickBo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thickBo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thickBo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thickBo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thickBo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thickBo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thickBo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thickBo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75" thickBo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75" thickBo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75" thickBo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75" thickBo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75" thickBo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75" thickBo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75" thickBo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75" thickBo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75" thickBo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75" thickBo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75" thickBo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75" thickBo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75" thickBo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thickBo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thickBo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75" thickBo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thickBo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thickBo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thickBo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thickBo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thickBo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thickBo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75" thickBo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thickBo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thickBo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thickBo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thickBo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thickBo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thickBo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thickBo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thickBo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thickBo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thickBo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thickBo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thickBo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thickBo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thickBo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thickBo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thickBo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thickBo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thickBo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thickBo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thickBo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thickBo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thickBo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thickBo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75" thickBo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thickBo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thickBo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thickBo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thickBo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thickBo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thickBo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thickBo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thickBo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thickBo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thickBo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</sheetData>
  <sortState xmlns:xlrd2="http://schemas.microsoft.com/office/spreadsheetml/2017/richdata2" ref="A2:AC1001">
    <sortCondition ref="C2:C1001"/>
    <sortCondition ref="B2:B100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EC94-5DFE-4B77-8BAD-9A0C05D6273B}">
  <dimension ref="A1:AC600"/>
  <sheetViews>
    <sheetView workbookViewId="0">
      <selection sqref="A1:AC21"/>
    </sheetView>
  </sheetViews>
  <sheetFormatPr defaultRowHeight="15" x14ac:dyDescent="0.25"/>
  <cols>
    <col min="4" max="4" width="16.140625" bestFit="1" customWidth="1"/>
    <col min="5" max="5" width="16.42578125" bestFit="1" customWidth="1"/>
    <col min="12" max="12" width="9.140625" customWidth="1"/>
    <col min="13" max="29" width="9" customWidth="1"/>
  </cols>
  <sheetData>
    <row r="1" spans="1:29" ht="60.75" thickBot="1" x14ac:dyDescent="0.3">
      <c r="A1" s="37" t="s">
        <v>343</v>
      </c>
      <c r="B1" s="37" t="s">
        <v>344</v>
      </c>
      <c r="C1" s="37" t="s">
        <v>345</v>
      </c>
      <c r="D1" s="37" t="s">
        <v>346</v>
      </c>
      <c r="E1" s="37" t="s">
        <v>347</v>
      </c>
      <c r="F1" s="37" t="s">
        <v>392</v>
      </c>
      <c r="G1" s="37" t="s">
        <v>393</v>
      </c>
      <c r="H1" s="37" t="s">
        <v>394</v>
      </c>
      <c r="I1" s="37" t="s">
        <v>395</v>
      </c>
      <c r="J1" s="37" t="s">
        <v>396</v>
      </c>
      <c r="K1" s="37" t="s">
        <v>397</v>
      </c>
      <c r="L1" s="37" t="s">
        <v>398</v>
      </c>
      <c r="M1" s="37" t="s">
        <v>399</v>
      </c>
      <c r="N1" s="37" t="s">
        <v>400</v>
      </c>
      <c r="O1" s="37" t="s">
        <v>401</v>
      </c>
      <c r="P1" s="37" t="s">
        <v>402</v>
      </c>
      <c r="Q1" s="37" t="s">
        <v>403</v>
      </c>
      <c r="R1" s="37" t="s">
        <v>404</v>
      </c>
      <c r="S1" s="37" t="s">
        <v>405</v>
      </c>
      <c r="T1" s="37" t="s">
        <v>406</v>
      </c>
      <c r="U1" s="37" t="s">
        <v>407</v>
      </c>
      <c r="V1" s="37" t="s">
        <v>408</v>
      </c>
      <c r="W1" s="37" t="s">
        <v>409</v>
      </c>
      <c r="X1" s="37" t="s">
        <v>410</v>
      </c>
      <c r="Y1" s="37" t="s">
        <v>411</v>
      </c>
      <c r="Z1" s="37" t="s">
        <v>412</v>
      </c>
      <c r="AA1" s="37" t="s">
        <v>413</v>
      </c>
      <c r="AB1" s="37" t="s">
        <v>414</v>
      </c>
      <c r="AC1" s="37" t="s">
        <v>415</v>
      </c>
    </row>
    <row r="2" spans="1:29" ht="15.75" thickBot="1" x14ac:dyDescent="0.3">
      <c r="A2" s="38" t="s">
        <v>363</v>
      </c>
      <c r="B2" s="39">
        <v>1</v>
      </c>
      <c r="C2" s="39">
        <v>0</v>
      </c>
      <c r="D2" s="38" t="s">
        <v>19</v>
      </c>
      <c r="E2" s="38" t="s">
        <v>23</v>
      </c>
      <c r="F2" s="39">
        <v>0</v>
      </c>
      <c r="G2" s="39">
        <v>0</v>
      </c>
      <c r="H2" s="39">
        <v>0</v>
      </c>
      <c r="I2" s="39">
        <v>31</v>
      </c>
      <c r="J2" s="39">
        <v>18</v>
      </c>
      <c r="K2" s="39">
        <v>21</v>
      </c>
      <c r="L2" s="39">
        <v>0</v>
      </c>
      <c r="M2" s="39">
        <v>0</v>
      </c>
      <c r="N2" s="39">
        <v>0</v>
      </c>
      <c r="O2" s="39">
        <v>32</v>
      </c>
      <c r="P2" s="39">
        <v>26</v>
      </c>
      <c r="Q2" s="39">
        <v>30</v>
      </c>
      <c r="R2" s="39">
        <v>0</v>
      </c>
      <c r="S2" s="39">
        <v>0</v>
      </c>
      <c r="T2" s="39">
        <v>0</v>
      </c>
      <c r="U2" s="39">
        <v>83</v>
      </c>
      <c r="V2" s="39">
        <v>74</v>
      </c>
      <c r="W2" s="39">
        <v>78</v>
      </c>
      <c r="X2" s="39">
        <v>0</v>
      </c>
      <c r="Y2" s="39">
        <v>0</v>
      </c>
      <c r="Z2" s="39">
        <v>0</v>
      </c>
      <c r="AA2" s="39">
        <v>92</v>
      </c>
      <c r="AB2" s="39">
        <v>90</v>
      </c>
      <c r="AC2" s="39">
        <v>94</v>
      </c>
    </row>
    <row r="3" spans="1:29" ht="15.75" thickBot="1" x14ac:dyDescent="0.3">
      <c r="A3" s="38" t="s">
        <v>367</v>
      </c>
      <c r="B3" s="39">
        <v>2</v>
      </c>
      <c r="C3" s="39">
        <v>0</v>
      </c>
      <c r="D3" s="38" t="s">
        <v>368</v>
      </c>
      <c r="E3" s="38" t="s">
        <v>39</v>
      </c>
      <c r="F3" s="39">
        <v>6</v>
      </c>
      <c r="G3" s="39">
        <v>5</v>
      </c>
      <c r="H3" s="39">
        <v>6</v>
      </c>
      <c r="I3" s="39">
        <v>16</v>
      </c>
      <c r="J3" s="39">
        <v>8</v>
      </c>
      <c r="K3" s="39">
        <v>10</v>
      </c>
      <c r="L3" s="39">
        <v>22</v>
      </c>
      <c r="M3" s="39">
        <v>20</v>
      </c>
      <c r="N3" s="39">
        <v>19</v>
      </c>
      <c r="O3" s="39">
        <v>28</v>
      </c>
      <c r="P3" s="39">
        <v>27</v>
      </c>
      <c r="Q3" s="39">
        <v>26</v>
      </c>
      <c r="R3" s="39">
        <v>63</v>
      </c>
      <c r="S3" s="39">
        <v>63</v>
      </c>
      <c r="T3" s="39">
        <v>60</v>
      </c>
      <c r="U3" s="39">
        <v>73</v>
      </c>
      <c r="V3" s="39">
        <v>72</v>
      </c>
      <c r="W3" s="39">
        <v>75</v>
      </c>
      <c r="X3" s="39">
        <v>64</v>
      </c>
      <c r="Y3" s="39">
        <v>62</v>
      </c>
      <c r="Z3" s="39">
        <v>67</v>
      </c>
      <c r="AA3" s="39">
        <v>80</v>
      </c>
      <c r="AB3" s="39">
        <v>76</v>
      </c>
      <c r="AC3" s="39">
        <v>83</v>
      </c>
    </row>
    <row r="4" spans="1:29" ht="15.75" thickBot="1" x14ac:dyDescent="0.3">
      <c r="A4" s="38" t="s">
        <v>370</v>
      </c>
      <c r="B4" s="39">
        <v>3</v>
      </c>
      <c r="C4" s="39">
        <v>0</v>
      </c>
      <c r="D4" s="38" t="s">
        <v>17</v>
      </c>
      <c r="E4" s="38" t="s">
        <v>19</v>
      </c>
      <c r="F4" s="39">
        <v>8</v>
      </c>
      <c r="G4" s="39">
        <v>9</v>
      </c>
      <c r="H4" s="39">
        <v>10</v>
      </c>
      <c r="I4" s="39">
        <v>0</v>
      </c>
      <c r="J4" s="39">
        <v>0</v>
      </c>
      <c r="K4" s="39">
        <v>0</v>
      </c>
      <c r="L4" s="39">
        <v>15</v>
      </c>
      <c r="M4" s="39">
        <v>21</v>
      </c>
      <c r="N4" s="39">
        <v>20</v>
      </c>
      <c r="O4" s="39">
        <v>0</v>
      </c>
      <c r="P4" s="39">
        <v>0</v>
      </c>
      <c r="Q4" s="39">
        <v>0</v>
      </c>
      <c r="R4" s="39">
        <v>56</v>
      </c>
      <c r="S4" s="39">
        <v>54</v>
      </c>
      <c r="T4" s="39">
        <v>63</v>
      </c>
      <c r="U4" s="39">
        <v>0</v>
      </c>
      <c r="V4" s="39">
        <v>0</v>
      </c>
      <c r="W4" s="39">
        <v>0</v>
      </c>
      <c r="X4" s="39">
        <v>46</v>
      </c>
      <c r="Y4" s="39">
        <v>60</v>
      </c>
      <c r="Z4" s="39">
        <v>65</v>
      </c>
      <c r="AA4" s="39">
        <v>0</v>
      </c>
      <c r="AB4" s="39">
        <v>0</v>
      </c>
      <c r="AC4" s="39">
        <v>0</v>
      </c>
    </row>
    <row r="5" spans="1:29" ht="15.75" thickBot="1" x14ac:dyDescent="0.3">
      <c r="A5" s="38" t="s">
        <v>372</v>
      </c>
      <c r="B5" s="39">
        <v>4</v>
      </c>
      <c r="C5" s="39">
        <v>0</v>
      </c>
      <c r="D5" s="38" t="s">
        <v>373</v>
      </c>
      <c r="E5" s="38" t="s">
        <v>28</v>
      </c>
      <c r="F5" s="39">
        <v>2</v>
      </c>
      <c r="G5" s="39">
        <v>4</v>
      </c>
      <c r="H5" s="39">
        <v>3</v>
      </c>
      <c r="I5" s="39">
        <v>13</v>
      </c>
      <c r="J5" s="39">
        <v>14</v>
      </c>
      <c r="K5" s="39">
        <v>10</v>
      </c>
      <c r="L5" s="39">
        <v>22</v>
      </c>
      <c r="M5" s="39">
        <v>18</v>
      </c>
      <c r="N5" s="39">
        <v>16</v>
      </c>
      <c r="O5" s="39">
        <v>24</v>
      </c>
      <c r="P5" s="39">
        <v>26</v>
      </c>
      <c r="Q5" s="39">
        <v>23</v>
      </c>
      <c r="R5" s="39">
        <v>55</v>
      </c>
      <c r="S5" s="39">
        <v>53</v>
      </c>
      <c r="T5" s="39">
        <v>48</v>
      </c>
      <c r="U5" s="39">
        <v>80</v>
      </c>
      <c r="V5" s="39">
        <v>83</v>
      </c>
      <c r="W5" s="39">
        <v>78</v>
      </c>
      <c r="X5" s="39">
        <v>44</v>
      </c>
      <c r="Y5" s="39">
        <v>46</v>
      </c>
      <c r="Z5" s="39">
        <v>48</v>
      </c>
      <c r="AA5" s="39">
        <v>85</v>
      </c>
      <c r="AB5" s="39">
        <v>88</v>
      </c>
      <c r="AC5" s="39">
        <v>90</v>
      </c>
    </row>
    <row r="6" spans="1:29" ht="15.75" thickBot="1" x14ac:dyDescent="0.3">
      <c r="A6" s="38" t="s">
        <v>374</v>
      </c>
      <c r="B6" s="39">
        <v>5</v>
      </c>
      <c r="C6" s="39">
        <v>0</v>
      </c>
      <c r="D6" s="38" t="s">
        <v>19</v>
      </c>
      <c r="E6" s="38" t="s">
        <v>39</v>
      </c>
      <c r="F6" s="39">
        <v>0</v>
      </c>
      <c r="G6" s="39">
        <v>0</v>
      </c>
      <c r="H6" s="39">
        <v>0</v>
      </c>
      <c r="I6" s="39">
        <v>30</v>
      </c>
      <c r="J6" s="39">
        <v>31</v>
      </c>
      <c r="K6" s="39">
        <v>22</v>
      </c>
      <c r="L6" s="39">
        <v>0</v>
      </c>
      <c r="M6" s="39">
        <v>0</v>
      </c>
      <c r="N6" s="39">
        <v>0</v>
      </c>
      <c r="O6" s="39">
        <v>26</v>
      </c>
      <c r="P6" s="39">
        <v>29</v>
      </c>
      <c r="Q6" s="39">
        <v>25</v>
      </c>
      <c r="R6" s="39">
        <v>0</v>
      </c>
      <c r="S6" s="39">
        <v>0</v>
      </c>
      <c r="T6" s="39">
        <v>0</v>
      </c>
      <c r="U6" s="39">
        <v>72</v>
      </c>
      <c r="V6" s="39">
        <v>73</v>
      </c>
      <c r="W6" s="39">
        <v>77</v>
      </c>
      <c r="X6" s="39">
        <v>0</v>
      </c>
      <c r="Y6" s="39">
        <v>0</v>
      </c>
      <c r="Z6" s="39">
        <v>0</v>
      </c>
      <c r="AA6" s="39">
        <v>75</v>
      </c>
      <c r="AB6" s="39">
        <v>80</v>
      </c>
      <c r="AC6" s="39">
        <v>80</v>
      </c>
    </row>
    <row r="7" spans="1:29" ht="15.75" thickBot="1" x14ac:dyDescent="0.3">
      <c r="A7" s="38" t="s">
        <v>375</v>
      </c>
      <c r="B7" s="39">
        <v>6</v>
      </c>
      <c r="C7" s="39">
        <v>0</v>
      </c>
      <c r="D7" s="38" t="s">
        <v>35</v>
      </c>
      <c r="E7" s="38" t="s">
        <v>23</v>
      </c>
      <c r="F7" s="39">
        <v>9</v>
      </c>
      <c r="G7" s="39">
        <v>8</v>
      </c>
      <c r="H7" s="39">
        <v>7</v>
      </c>
      <c r="I7" s="39">
        <v>9</v>
      </c>
      <c r="J7" s="39">
        <v>18</v>
      </c>
      <c r="K7" s="39">
        <v>16</v>
      </c>
      <c r="L7" s="39">
        <v>18</v>
      </c>
      <c r="M7" s="39">
        <v>20</v>
      </c>
      <c r="N7" s="39">
        <v>20</v>
      </c>
      <c r="O7" s="39">
        <v>22</v>
      </c>
      <c r="P7" s="39">
        <v>30</v>
      </c>
      <c r="Q7" s="39">
        <v>34</v>
      </c>
      <c r="R7" s="39">
        <v>57</v>
      </c>
      <c r="S7" s="39">
        <v>64</v>
      </c>
      <c r="T7" s="39">
        <v>64</v>
      </c>
      <c r="U7" s="39">
        <v>80</v>
      </c>
      <c r="V7" s="39">
        <v>82</v>
      </c>
      <c r="W7" s="39">
        <v>83</v>
      </c>
      <c r="X7" s="39">
        <v>56</v>
      </c>
      <c r="Y7" s="39">
        <v>63</v>
      </c>
      <c r="Z7" s="39">
        <v>64</v>
      </c>
      <c r="AA7" s="39">
        <v>95</v>
      </c>
      <c r="AB7" s="39">
        <v>94</v>
      </c>
      <c r="AC7" s="39">
        <v>101</v>
      </c>
    </row>
    <row r="8" spans="1:29" ht="15.75" thickBot="1" x14ac:dyDescent="0.3">
      <c r="A8" s="38" t="s">
        <v>376</v>
      </c>
      <c r="B8" s="39">
        <v>7</v>
      </c>
      <c r="C8" s="39">
        <v>0</v>
      </c>
      <c r="D8" s="38" t="s">
        <v>373</v>
      </c>
      <c r="E8" s="38" t="s">
        <v>19</v>
      </c>
      <c r="F8" s="39">
        <v>15</v>
      </c>
      <c r="G8" s="39">
        <v>12</v>
      </c>
      <c r="H8" s="39">
        <v>11</v>
      </c>
      <c r="I8" s="39">
        <v>0</v>
      </c>
      <c r="J8" s="39">
        <v>0</v>
      </c>
      <c r="K8" s="39">
        <v>0</v>
      </c>
      <c r="L8" s="39">
        <v>19</v>
      </c>
      <c r="M8" s="39">
        <v>19</v>
      </c>
      <c r="N8" s="39">
        <v>17</v>
      </c>
      <c r="O8" s="39">
        <v>0</v>
      </c>
      <c r="P8" s="39">
        <v>0</v>
      </c>
      <c r="Q8" s="39">
        <v>0</v>
      </c>
      <c r="R8" s="39">
        <v>62</v>
      </c>
      <c r="S8" s="39">
        <v>64</v>
      </c>
      <c r="T8" s="39">
        <v>66</v>
      </c>
      <c r="U8" s="39">
        <v>0</v>
      </c>
      <c r="V8" s="39">
        <v>0</v>
      </c>
      <c r="W8" s="39">
        <v>0</v>
      </c>
      <c r="X8" s="39">
        <v>60</v>
      </c>
      <c r="Y8" s="39">
        <v>70</v>
      </c>
      <c r="Z8" s="39">
        <v>68</v>
      </c>
      <c r="AA8" s="39">
        <v>0</v>
      </c>
      <c r="AB8" s="39">
        <v>0</v>
      </c>
      <c r="AC8" s="39">
        <v>0</v>
      </c>
    </row>
    <row r="9" spans="1:29" ht="15.75" thickBot="1" x14ac:dyDescent="0.3">
      <c r="A9" s="38" t="s">
        <v>377</v>
      </c>
      <c r="B9" s="39">
        <v>8</v>
      </c>
      <c r="C9" s="39">
        <v>0</v>
      </c>
      <c r="D9" s="38" t="s">
        <v>57</v>
      </c>
      <c r="E9" s="38" t="s">
        <v>378</v>
      </c>
      <c r="F9" s="39">
        <v>5</v>
      </c>
      <c r="G9" s="39">
        <v>4</v>
      </c>
      <c r="H9" s="39">
        <v>5</v>
      </c>
      <c r="I9" s="39">
        <v>10</v>
      </c>
      <c r="J9" s="39">
        <v>11</v>
      </c>
      <c r="K9" s="39">
        <v>10</v>
      </c>
      <c r="L9" s="39">
        <v>19</v>
      </c>
      <c r="M9" s="39">
        <v>19</v>
      </c>
      <c r="N9" s="39">
        <v>21</v>
      </c>
      <c r="O9" s="39">
        <v>28</v>
      </c>
      <c r="P9" s="39">
        <v>28</v>
      </c>
      <c r="Q9" s="39">
        <v>32</v>
      </c>
      <c r="R9" s="39">
        <v>66</v>
      </c>
      <c r="S9" s="39">
        <v>7</v>
      </c>
      <c r="T9" s="39">
        <v>70</v>
      </c>
      <c r="U9" s="39">
        <v>90</v>
      </c>
      <c r="V9" s="39">
        <v>94</v>
      </c>
      <c r="W9" s="39">
        <v>96</v>
      </c>
      <c r="X9" s="39">
        <v>63</v>
      </c>
      <c r="Y9" s="39">
        <v>70</v>
      </c>
      <c r="Z9" s="39">
        <v>65</v>
      </c>
      <c r="AA9" s="39">
        <v>109</v>
      </c>
      <c r="AB9" s="39">
        <v>111</v>
      </c>
      <c r="AC9" s="39">
        <v>110</v>
      </c>
    </row>
    <row r="10" spans="1:29" ht="15.75" thickBot="1" x14ac:dyDescent="0.3">
      <c r="A10" s="38" t="s">
        <v>379</v>
      </c>
      <c r="B10" s="39">
        <v>9</v>
      </c>
      <c r="C10" s="39">
        <v>0</v>
      </c>
      <c r="D10" s="38" t="s">
        <v>19</v>
      </c>
      <c r="E10" s="38" t="s">
        <v>28</v>
      </c>
      <c r="F10" s="39">
        <v>0</v>
      </c>
      <c r="G10" s="39">
        <v>0</v>
      </c>
      <c r="H10" s="39">
        <v>0</v>
      </c>
      <c r="I10" s="39">
        <v>31</v>
      </c>
      <c r="J10" s="39">
        <v>25</v>
      </c>
      <c r="K10" s="39">
        <v>30</v>
      </c>
      <c r="L10" s="39">
        <v>0</v>
      </c>
      <c r="M10" s="39">
        <v>0</v>
      </c>
      <c r="N10" s="39">
        <v>0</v>
      </c>
      <c r="O10" s="39">
        <v>32</v>
      </c>
      <c r="P10" s="39">
        <v>31</v>
      </c>
      <c r="Q10" s="39">
        <v>21</v>
      </c>
      <c r="R10" s="39">
        <v>0</v>
      </c>
      <c r="S10" s="39">
        <v>0</v>
      </c>
      <c r="T10" s="39">
        <v>0</v>
      </c>
      <c r="U10" s="39">
        <v>89</v>
      </c>
      <c r="V10" s="39">
        <v>85</v>
      </c>
      <c r="W10" s="39">
        <v>83</v>
      </c>
      <c r="X10" s="39">
        <v>0</v>
      </c>
      <c r="Y10" s="39">
        <v>0</v>
      </c>
      <c r="Z10" s="39">
        <v>0</v>
      </c>
      <c r="AA10" s="39">
        <v>90</v>
      </c>
      <c r="AB10" s="39">
        <v>86</v>
      </c>
      <c r="AC10" s="39">
        <v>92</v>
      </c>
    </row>
    <row r="11" spans="1:29" ht="15.75" thickBot="1" x14ac:dyDescent="0.3">
      <c r="A11" s="38" t="s">
        <v>380</v>
      </c>
      <c r="B11" s="39">
        <v>10</v>
      </c>
      <c r="C11" s="39">
        <v>0</v>
      </c>
      <c r="D11" s="38" t="s">
        <v>57</v>
      </c>
      <c r="E11" s="38" t="s">
        <v>381</v>
      </c>
      <c r="F11" s="39">
        <v>7</v>
      </c>
      <c r="G11" s="39">
        <v>7</v>
      </c>
      <c r="H11" s="39">
        <v>5</v>
      </c>
      <c r="I11" s="39">
        <v>14</v>
      </c>
      <c r="J11" s="39">
        <v>14</v>
      </c>
      <c r="K11" s="39">
        <v>15</v>
      </c>
      <c r="L11" s="39">
        <v>19</v>
      </c>
      <c r="M11" s="39">
        <v>21</v>
      </c>
      <c r="N11" s="39">
        <v>19</v>
      </c>
      <c r="O11" s="39">
        <v>30</v>
      </c>
      <c r="P11" s="39">
        <v>27</v>
      </c>
      <c r="Q11" s="39">
        <v>27</v>
      </c>
      <c r="R11" s="39">
        <v>62</v>
      </c>
      <c r="S11" s="39">
        <v>66</v>
      </c>
      <c r="T11" s="39">
        <v>63</v>
      </c>
      <c r="U11" s="39">
        <v>85</v>
      </c>
      <c r="V11" s="39">
        <v>87</v>
      </c>
      <c r="W11" s="39">
        <v>83</v>
      </c>
      <c r="X11" s="39">
        <v>64</v>
      </c>
      <c r="Y11" s="39">
        <v>70</v>
      </c>
      <c r="Z11" s="39">
        <v>70</v>
      </c>
      <c r="AA11" s="39">
        <v>91</v>
      </c>
      <c r="AB11" s="39">
        <v>92</v>
      </c>
      <c r="AC11" s="39">
        <v>91</v>
      </c>
    </row>
    <row r="12" spans="1:29" ht="15.75" thickBot="1" x14ac:dyDescent="0.3">
      <c r="A12" s="38" t="s">
        <v>382</v>
      </c>
      <c r="B12" s="39">
        <v>1</v>
      </c>
      <c r="C12" s="39">
        <v>41</v>
      </c>
      <c r="D12" s="38" t="s">
        <v>19</v>
      </c>
      <c r="E12" s="38" t="s">
        <v>378</v>
      </c>
      <c r="F12" s="39">
        <v>0</v>
      </c>
      <c r="G12" s="39">
        <v>0</v>
      </c>
      <c r="H12" s="39">
        <v>0</v>
      </c>
      <c r="I12" s="39">
        <v>27</v>
      </c>
      <c r="J12" s="39">
        <v>28</v>
      </c>
      <c r="K12" s="39">
        <v>29</v>
      </c>
      <c r="L12" s="39">
        <v>0</v>
      </c>
      <c r="M12" s="39">
        <v>0</v>
      </c>
      <c r="N12" s="39">
        <v>0</v>
      </c>
      <c r="O12" s="39">
        <v>35</v>
      </c>
      <c r="P12" s="39">
        <v>35</v>
      </c>
      <c r="Q12" s="39">
        <v>35</v>
      </c>
      <c r="R12" s="39">
        <v>0</v>
      </c>
      <c r="S12" s="39">
        <v>0</v>
      </c>
      <c r="T12" s="39">
        <v>0</v>
      </c>
      <c r="U12" s="39">
        <v>100</v>
      </c>
      <c r="V12" s="39">
        <v>95</v>
      </c>
      <c r="W12" s="39">
        <v>103</v>
      </c>
      <c r="X12" s="39">
        <v>0</v>
      </c>
      <c r="Y12" s="39">
        <v>0</v>
      </c>
      <c r="Z12" s="39">
        <v>0</v>
      </c>
      <c r="AA12" s="39">
        <v>110</v>
      </c>
      <c r="AB12" s="39">
        <v>120</v>
      </c>
      <c r="AC12" s="39">
        <v>115</v>
      </c>
    </row>
    <row r="13" spans="1:29" ht="15.75" thickBot="1" x14ac:dyDescent="0.3">
      <c r="A13" s="38" t="s">
        <v>383</v>
      </c>
      <c r="B13" s="39">
        <v>2</v>
      </c>
      <c r="C13" s="39">
        <v>41</v>
      </c>
      <c r="D13" s="38" t="s">
        <v>373</v>
      </c>
      <c r="E13" s="38" t="s">
        <v>381</v>
      </c>
      <c r="F13" s="39">
        <v>6</v>
      </c>
      <c r="G13" s="39">
        <v>7</v>
      </c>
      <c r="H13" s="39">
        <v>6</v>
      </c>
      <c r="I13" s="39">
        <v>15</v>
      </c>
      <c r="J13" s="39">
        <v>13</v>
      </c>
      <c r="K13" s="39">
        <v>5</v>
      </c>
      <c r="L13" s="39">
        <v>24</v>
      </c>
      <c r="M13" s="39">
        <v>23</v>
      </c>
      <c r="N13" s="39">
        <v>20</v>
      </c>
      <c r="O13" s="39">
        <v>30</v>
      </c>
      <c r="P13" s="39">
        <v>28</v>
      </c>
      <c r="Q13" s="39">
        <v>29</v>
      </c>
      <c r="R13" s="39">
        <v>67</v>
      </c>
      <c r="S13" s="39">
        <v>65</v>
      </c>
      <c r="T13" s="39">
        <v>73</v>
      </c>
      <c r="U13" s="39">
        <v>90</v>
      </c>
      <c r="V13" s="39">
        <v>86</v>
      </c>
      <c r="W13" s="39">
        <v>86</v>
      </c>
      <c r="X13" s="39">
        <v>73</v>
      </c>
      <c r="Y13" s="39">
        <v>62</v>
      </c>
      <c r="Z13" s="39">
        <v>73</v>
      </c>
      <c r="AA13" s="39">
        <v>95</v>
      </c>
      <c r="AB13" s="39">
        <v>99</v>
      </c>
      <c r="AC13" s="39">
        <v>111</v>
      </c>
    </row>
    <row r="14" spans="1:29" ht="15.75" thickBot="1" x14ac:dyDescent="0.3">
      <c r="A14" s="38" t="s">
        <v>384</v>
      </c>
      <c r="B14" s="39">
        <v>3</v>
      </c>
      <c r="C14" s="39">
        <v>41</v>
      </c>
      <c r="D14" s="38" t="s">
        <v>368</v>
      </c>
      <c r="E14" s="38" t="s">
        <v>19</v>
      </c>
      <c r="F14" s="39">
        <v>11</v>
      </c>
      <c r="G14" s="39">
        <v>17</v>
      </c>
      <c r="H14" s="39">
        <v>13</v>
      </c>
      <c r="I14" s="39">
        <v>0</v>
      </c>
      <c r="J14" s="39">
        <v>0</v>
      </c>
      <c r="K14" s="39">
        <v>0</v>
      </c>
      <c r="L14" s="39">
        <v>21</v>
      </c>
      <c r="M14" s="39">
        <v>22</v>
      </c>
      <c r="N14" s="39">
        <v>21</v>
      </c>
      <c r="O14" s="39">
        <v>0</v>
      </c>
      <c r="P14" s="39">
        <v>0</v>
      </c>
      <c r="Q14" s="39">
        <v>0</v>
      </c>
      <c r="R14" s="39">
        <v>80</v>
      </c>
      <c r="S14" s="39">
        <v>75</v>
      </c>
      <c r="T14" s="39">
        <v>75</v>
      </c>
      <c r="U14" s="39">
        <v>0</v>
      </c>
      <c r="V14" s="39">
        <v>0</v>
      </c>
      <c r="W14" s="39">
        <v>0</v>
      </c>
      <c r="X14" s="39">
        <v>90</v>
      </c>
      <c r="Y14" s="39">
        <v>92</v>
      </c>
      <c r="Z14" s="39">
        <v>97</v>
      </c>
      <c r="AA14" s="39">
        <v>0</v>
      </c>
      <c r="AB14" s="39">
        <v>0</v>
      </c>
      <c r="AC14" s="39">
        <v>0</v>
      </c>
    </row>
    <row r="15" spans="1:29" ht="15.75" thickBot="1" x14ac:dyDescent="0.3">
      <c r="A15" s="38" t="s">
        <v>385</v>
      </c>
      <c r="B15" s="39">
        <v>4</v>
      </c>
      <c r="C15" s="39">
        <v>41</v>
      </c>
      <c r="D15" s="38" t="s">
        <v>35</v>
      </c>
      <c r="E15" s="38" t="s">
        <v>39</v>
      </c>
      <c r="F15" s="39">
        <v>8</v>
      </c>
      <c r="G15" s="39">
        <v>10</v>
      </c>
      <c r="H15" s="39">
        <v>8</v>
      </c>
      <c r="I15" s="39">
        <v>9</v>
      </c>
      <c r="J15" s="39">
        <v>13</v>
      </c>
      <c r="K15" s="39">
        <v>8</v>
      </c>
      <c r="L15" s="39">
        <v>24</v>
      </c>
      <c r="M15" s="39">
        <v>21</v>
      </c>
      <c r="N15" s="39">
        <v>20</v>
      </c>
      <c r="O15" s="39">
        <v>27</v>
      </c>
      <c r="P15" s="39">
        <v>27</v>
      </c>
      <c r="Q15" s="39">
        <v>27</v>
      </c>
      <c r="R15" s="39">
        <v>70</v>
      </c>
      <c r="S15" s="39">
        <v>74</v>
      </c>
      <c r="T15" s="39">
        <v>72</v>
      </c>
      <c r="U15" s="39">
        <v>80</v>
      </c>
      <c r="V15" s="39">
        <v>74</v>
      </c>
      <c r="W15" s="39">
        <v>78</v>
      </c>
      <c r="X15" s="39">
        <v>81</v>
      </c>
      <c r="Y15" s="39">
        <v>80</v>
      </c>
      <c r="Z15" s="39">
        <v>78</v>
      </c>
      <c r="AA15" s="39">
        <v>86</v>
      </c>
      <c r="AB15" s="39">
        <v>91</v>
      </c>
      <c r="AC15" s="39">
        <v>88</v>
      </c>
    </row>
    <row r="16" spans="1:29" ht="15.75" thickBot="1" x14ac:dyDescent="0.3">
      <c r="A16" s="38" t="s">
        <v>386</v>
      </c>
      <c r="B16" s="39">
        <v>5</v>
      </c>
      <c r="C16" s="39">
        <v>41</v>
      </c>
      <c r="D16" s="38" t="s">
        <v>19</v>
      </c>
      <c r="E16" s="38" t="s">
        <v>381</v>
      </c>
      <c r="F16" s="39">
        <v>0</v>
      </c>
      <c r="G16" s="39">
        <v>0</v>
      </c>
      <c r="H16" s="39">
        <v>0</v>
      </c>
      <c r="I16" s="39">
        <v>35</v>
      </c>
      <c r="J16" s="39">
        <v>33</v>
      </c>
      <c r="K16" s="39">
        <v>32</v>
      </c>
      <c r="L16" s="39">
        <v>0</v>
      </c>
      <c r="M16" s="39">
        <v>0</v>
      </c>
      <c r="N16" s="39">
        <v>0</v>
      </c>
      <c r="O16" s="39">
        <v>32</v>
      </c>
      <c r="P16" s="39">
        <v>28</v>
      </c>
      <c r="Q16" s="39">
        <v>30</v>
      </c>
      <c r="R16" s="39">
        <v>0</v>
      </c>
      <c r="S16" s="39">
        <v>0</v>
      </c>
      <c r="T16" s="39">
        <v>0</v>
      </c>
      <c r="U16" s="39">
        <v>90</v>
      </c>
      <c r="V16" s="39">
        <v>86</v>
      </c>
      <c r="W16" s="39">
        <v>89</v>
      </c>
      <c r="X16" s="39">
        <v>0</v>
      </c>
      <c r="Y16" s="39">
        <v>0</v>
      </c>
      <c r="Z16" s="39">
        <v>0</v>
      </c>
      <c r="AA16" s="39">
        <v>101</v>
      </c>
      <c r="AB16" s="39">
        <v>93</v>
      </c>
      <c r="AC16" s="39">
        <v>96</v>
      </c>
    </row>
    <row r="17" spans="1:29" ht="15.75" thickBot="1" x14ac:dyDescent="0.3">
      <c r="A17" s="38" t="s">
        <v>387</v>
      </c>
      <c r="B17" s="39">
        <v>6</v>
      </c>
      <c r="C17" s="39">
        <v>41</v>
      </c>
      <c r="D17" s="38" t="s">
        <v>17</v>
      </c>
      <c r="E17" s="38" t="s">
        <v>378</v>
      </c>
      <c r="F17" s="39">
        <v>4</v>
      </c>
      <c r="G17" s="39">
        <v>7</v>
      </c>
      <c r="H17" s="39">
        <v>4</v>
      </c>
      <c r="I17" s="39">
        <v>13</v>
      </c>
      <c r="J17" s="39">
        <v>6</v>
      </c>
      <c r="K17" s="39">
        <v>23</v>
      </c>
      <c r="L17" s="39">
        <v>21</v>
      </c>
      <c r="M17" s="39">
        <v>21</v>
      </c>
      <c r="N17" s="39">
        <v>23</v>
      </c>
      <c r="O17" s="39">
        <v>29</v>
      </c>
      <c r="P17" s="39">
        <v>26</v>
      </c>
      <c r="Q17" s="39">
        <v>31</v>
      </c>
      <c r="R17" s="39">
        <v>66</v>
      </c>
      <c r="S17" s="39">
        <v>70</v>
      </c>
      <c r="T17" s="39">
        <v>69</v>
      </c>
      <c r="U17" s="39">
        <v>96</v>
      </c>
      <c r="V17" s="39">
        <v>85</v>
      </c>
      <c r="W17" s="39">
        <v>93</v>
      </c>
      <c r="X17" s="39">
        <v>70</v>
      </c>
      <c r="Y17" s="39">
        <v>67</v>
      </c>
      <c r="Z17" s="39">
        <v>71</v>
      </c>
      <c r="AA17" s="39">
        <v>120</v>
      </c>
      <c r="AB17" s="39">
        <v>114</v>
      </c>
      <c r="AC17" s="39">
        <v>111</v>
      </c>
    </row>
    <row r="18" spans="1:29" ht="15.75" thickBot="1" x14ac:dyDescent="0.3">
      <c r="A18" s="38" t="s">
        <v>388</v>
      </c>
      <c r="B18" s="39">
        <v>7</v>
      </c>
      <c r="C18" s="39">
        <v>41</v>
      </c>
      <c r="D18" s="38" t="s">
        <v>35</v>
      </c>
      <c r="E18" s="38" t="s">
        <v>19</v>
      </c>
      <c r="F18" s="39">
        <v>13</v>
      </c>
      <c r="G18" s="39">
        <v>13</v>
      </c>
      <c r="H18" s="39">
        <v>8</v>
      </c>
      <c r="I18" s="39">
        <v>0</v>
      </c>
      <c r="J18" s="39">
        <v>0</v>
      </c>
      <c r="K18" s="39">
        <v>0</v>
      </c>
      <c r="L18" s="39">
        <v>19</v>
      </c>
      <c r="M18" s="39">
        <v>19</v>
      </c>
      <c r="N18" s="39">
        <v>21</v>
      </c>
      <c r="O18" s="39">
        <v>0</v>
      </c>
      <c r="P18" s="39">
        <v>0</v>
      </c>
      <c r="Q18" s="39">
        <v>0</v>
      </c>
      <c r="R18" s="39">
        <v>80</v>
      </c>
      <c r="S18" s="39">
        <v>74</v>
      </c>
      <c r="T18" s="39">
        <v>76</v>
      </c>
      <c r="U18" s="39">
        <v>0</v>
      </c>
      <c r="V18" s="39">
        <v>0</v>
      </c>
      <c r="W18" s="39">
        <v>0</v>
      </c>
      <c r="X18" s="39">
        <v>81</v>
      </c>
      <c r="Y18" s="39">
        <v>81</v>
      </c>
      <c r="Z18" s="39">
        <v>79</v>
      </c>
      <c r="AA18" s="39">
        <v>0</v>
      </c>
      <c r="AB18" s="39">
        <v>0</v>
      </c>
      <c r="AC18" s="39">
        <v>0</v>
      </c>
    </row>
    <row r="19" spans="1:29" ht="15.75" thickBot="1" x14ac:dyDescent="0.3">
      <c r="A19" s="38" t="s">
        <v>389</v>
      </c>
      <c r="B19" s="39">
        <v>8</v>
      </c>
      <c r="C19" s="39">
        <v>41</v>
      </c>
      <c r="D19" s="38" t="s">
        <v>17</v>
      </c>
      <c r="E19" s="38" t="s">
        <v>28</v>
      </c>
      <c r="F19" s="39">
        <v>7</v>
      </c>
      <c r="G19" s="39">
        <v>8</v>
      </c>
      <c r="H19" s="39">
        <v>6</v>
      </c>
      <c r="I19" s="39">
        <v>12</v>
      </c>
      <c r="J19" s="39">
        <v>8</v>
      </c>
      <c r="K19" s="39">
        <v>16</v>
      </c>
      <c r="L19" s="39">
        <v>21</v>
      </c>
      <c r="M19" s="39">
        <v>19</v>
      </c>
      <c r="N19" s="39">
        <v>21</v>
      </c>
      <c r="O19" s="39">
        <v>24</v>
      </c>
      <c r="P19" s="39">
        <v>23</v>
      </c>
      <c r="Q19" s="39">
        <v>24</v>
      </c>
      <c r="R19" s="39">
        <v>69</v>
      </c>
      <c r="S19" s="39">
        <v>67</v>
      </c>
      <c r="T19" s="39">
        <v>70</v>
      </c>
      <c r="U19" s="39">
        <v>91</v>
      </c>
      <c r="V19" s="39">
        <v>88</v>
      </c>
      <c r="W19" s="39">
        <v>92</v>
      </c>
      <c r="X19" s="39">
        <v>65</v>
      </c>
      <c r="Y19" s="39">
        <v>69</v>
      </c>
      <c r="Z19" s="39">
        <v>75</v>
      </c>
      <c r="AA19" s="39">
        <v>94</v>
      </c>
      <c r="AB19" s="39">
        <v>92</v>
      </c>
      <c r="AC19" s="39">
        <v>91</v>
      </c>
    </row>
    <row r="20" spans="1:29" ht="15.75" thickBot="1" x14ac:dyDescent="0.3">
      <c r="A20" s="38" t="s">
        <v>390</v>
      </c>
      <c r="B20" s="39">
        <v>9</v>
      </c>
      <c r="C20" s="39">
        <v>41</v>
      </c>
      <c r="D20" s="38" t="s">
        <v>57</v>
      </c>
      <c r="E20" s="38" t="s">
        <v>19</v>
      </c>
      <c r="F20" s="39">
        <v>13</v>
      </c>
      <c r="G20" s="39">
        <v>14</v>
      </c>
      <c r="H20" s="39">
        <v>8</v>
      </c>
      <c r="I20" s="39">
        <v>0</v>
      </c>
      <c r="J20" s="39">
        <v>0</v>
      </c>
      <c r="K20" s="39">
        <v>0</v>
      </c>
      <c r="L20" s="39">
        <v>25</v>
      </c>
      <c r="M20" s="39">
        <v>22</v>
      </c>
      <c r="N20" s="39">
        <v>21</v>
      </c>
      <c r="O20" s="39">
        <v>0</v>
      </c>
      <c r="P20" s="39">
        <v>0</v>
      </c>
      <c r="Q20" s="39">
        <v>0</v>
      </c>
      <c r="R20" s="39">
        <v>84</v>
      </c>
      <c r="S20" s="39">
        <v>75</v>
      </c>
      <c r="T20" s="39">
        <v>82</v>
      </c>
      <c r="U20" s="39">
        <v>0</v>
      </c>
      <c r="V20" s="39">
        <v>0</v>
      </c>
      <c r="W20" s="39">
        <v>0</v>
      </c>
      <c r="X20" s="39">
        <v>48</v>
      </c>
      <c r="Y20" s="39">
        <v>76</v>
      </c>
      <c r="Z20" s="39">
        <v>85</v>
      </c>
      <c r="AA20" s="39">
        <v>0</v>
      </c>
      <c r="AB20" s="39">
        <v>0</v>
      </c>
      <c r="AC20" s="39">
        <v>0</v>
      </c>
    </row>
    <row r="21" spans="1:29" ht="15.75" thickBot="1" x14ac:dyDescent="0.3">
      <c r="A21" s="38" t="s">
        <v>391</v>
      </c>
      <c r="B21" s="39">
        <v>10</v>
      </c>
      <c r="C21" s="39">
        <v>41</v>
      </c>
      <c r="D21" s="38" t="s">
        <v>368</v>
      </c>
      <c r="E21" s="38" t="s">
        <v>23</v>
      </c>
      <c r="F21" s="39">
        <v>7</v>
      </c>
      <c r="G21" s="39">
        <v>7</v>
      </c>
      <c r="H21" s="39">
        <v>7</v>
      </c>
      <c r="I21" s="39">
        <v>14</v>
      </c>
      <c r="J21" s="39">
        <v>14</v>
      </c>
      <c r="K21" s="39">
        <v>8</v>
      </c>
      <c r="L21" s="39">
        <v>22</v>
      </c>
      <c r="M21" s="39">
        <v>21</v>
      </c>
      <c r="N21" s="39">
        <v>21</v>
      </c>
      <c r="O21" s="39">
        <v>25</v>
      </c>
      <c r="P21" s="39">
        <v>23</v>
      </c>
      <c r="Q21" s="39">
        <v>25</v>
      </c>
      <c r="R21" s="39">
        <v>80</v>
      </c>
      <c r="S21" s="39">
        <v>75</v>
      </c>
      <c r="T21" s="39">
        <v>79</v>
      </c>
      <c r="U21" s="39">
        <v>78</v>
      </c>
      <c r="V21" s="39">
        <v>78</v>
      </c>
      <c r="W21" s="39">
        <v>83</v>
      </c>
      <c r="X21" s="39">
        <v>81</v>
      </c>
      <c r="Y21" s="39">
        <v>73</v>
      </c>
      <c r="Z21" s="39">
        <v>81</v>
      </c>
      <c r="AA21" s="39">
        <v>92</v>
      </c>
      <c r="AB21" s="39">
        <v>92</v>
      </c>
      <c r="AC21" s="39">
        <v>101</v>
      </c>
    </row>
    <row r="22" spans="1:29" ht="15.75" thickBo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thickBo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thickBo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thickBo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thickBo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thickBo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thickBo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thickBo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thickBo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thickBo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thickBo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thickBo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thickBo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thickBo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thickBo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thickBo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thickBo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thickBo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thickBo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thickBo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thickBo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thickBo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thickBo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thickBo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thickBo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thickBo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thickBo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thickBo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thickBo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thickBo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thickBo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thickBo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thickBo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thickBo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thickBo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thickBo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thickBo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thickBo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thickBo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thickBo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thickBo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thickBo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thickBo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thickBo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thickBo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thickBo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thickBo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thickBo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thickBo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thickBo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thickBo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thickBo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thickBo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thickBo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thickBo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thickBo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thickBo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thickBo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thickBo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thickBo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thickBo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thickBo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thickBo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thickBo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thickBo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thickBo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thickBo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thickBo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thickBo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thickBo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thickBo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thickBo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thickBo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thickBo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thickBo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thickBo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thickBo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thickBo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thickBo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thickBo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thickBo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thickBo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thickBo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thickBo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thickBo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thickBo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thickBo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thickBo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thickBo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thickBo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thickBo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thickBo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thickBo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thickBo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thickBo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thickBo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thickBo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thickBo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thickBo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thickBo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thickBo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thickBo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thickBo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thickBo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thickBo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thickBo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thickBo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thickBo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thickBo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thickBo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75" thickBo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75" thickBo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75" thickBo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75" thickBo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75" thickBo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75" thickBo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75" thickBo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75" thickBo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75" thickBo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75" thickBo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75" thickBo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75" thickBo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75" thickBo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75" thickBo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75" thickBo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75" thickBo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75" thickBo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.75" thickBo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75" thickBo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75" thickBo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75" thickBo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75" thickBo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75" thickBo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75" thickBo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75" thickBo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75" thickBo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.75" thickBo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75" thickBo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75" thickBo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75" thickBo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75" thickBo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75" thickBo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75" thickBo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75" thickBo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75" thickBo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75" thickBo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75" thickBo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75" thickBo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75" thickBo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75" thickBo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75" thickBo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75" thickBo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75" thickBo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75" thickBo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75" thickBo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75" thickBo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75" thickBo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75" thickBo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75" thickBo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75" thickBo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75" thickBo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75" thickBo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75" thickBo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75" thickBo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75" thickBo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75" thickBo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75" thickBo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75" thickBo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75" thickBo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75" thickBo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75" thickBo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75" thickBo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75" thickBo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75" thickBo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75" thickBo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75" thickBo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75" thickBo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75" thickBo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75" thickBo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75" thickBo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75" thickBo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75" thickBo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75" thickBo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75" thickBo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thickBo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thickBo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thickBo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thickBo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75" thickBo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75" thickBo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75" thickBo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75" thickBo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thickBo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thickBo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thickBo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thickBo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75" thickBo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75" thickBo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75" thickBo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75" thickBo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75" thickBo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75" thickBo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75" thickBo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75" thickBo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75" thickBo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75" thickBo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75" thickBo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75" thickBo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75" thickBo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75" thickBo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75" thickBo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75" thickBo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75" thickBo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75" thickBo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75" thickBo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75" thickBo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75" thickBo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75" thickBo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75" thickBo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75" thickBo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thickBo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thickBo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thickBo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thickBo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thickBo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thickBo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thickBo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thickBo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thickBo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thickBo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thickBo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thickBo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thickBo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thickBo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thickBo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thickBo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thickBo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thickBo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.75" thickBo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.75" thickBo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.75" thickBo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.75" thickBo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.75" thickBo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.75" thickBo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.75" thickBo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.75" thickBo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.75" thickBo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.75" thickBo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.75" thickBo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.75" thickBo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.75" thickBo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.75" thickBo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.75" thickBo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.75" thickBo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.75" thickBo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.75" thickBo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.75" thickBo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.75" thickBo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thickBo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thickBo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.75" thickBo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.75" thickBo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thickBo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.75" thickBo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.75" thickBo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.75" thickBo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.75" thickBo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.75" thickBo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.75" thickBo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.75" thickBo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.75" thickBo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.75" thickBo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.75" thickBo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.75" thickBo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.75" thickBo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.75" thickBo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thickBo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thickBo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.75" thickBo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.75" thickBo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.75" thickBo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.75" thickBo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.75" thickBo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.75" thickBo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.75" thickBo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.75" thickBo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.75" thickBo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.75" thickBo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.75" thickBo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.75" thickBo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.75" thickBo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.75" thickBo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.75" thickBo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.75" thickBo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.75" thickBo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.75" thickBo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.75" thickBo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.75" thickBo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.75" thickBo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.75" thickBo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.75" thickBo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.75" thickBo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.75" thickBo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.75" thickBo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.75" thickBo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.75" thickBo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.75" thickBo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.75" thickBo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.75" thickBo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.75" thickBo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.75" thickBo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.75" thickBo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.75" thickBo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.75" thickBo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.75" thickBo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.75" thickBo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.75" thickBo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.75" thickBo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.75" thickBo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.75" thickBo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.75" thickBo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.75" thickBo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.75" thickBo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.75" thickBo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.75" thickBo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.75" thickBo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.75" thickBo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.75" thickBo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.75" thickBo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.75" thickBo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.75" thickBo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.75" thickBo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.75" thickBo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.75" thickBo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.75" thickBo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.75" thickBo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.75" thickBo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.75" thickBo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.75" thickBo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.75" thickBo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.75" thickBo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.75" thickBo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.75" thickBo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.75" thickBo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.75" thickBo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.75" thickBo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.75" thickBo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.75" thickBo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.75" thickBo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.75" thickBo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.75" thickBo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.75" thickBo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.75" thickBo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.75" thickBo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.75" thickBo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.75" thickBo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.75" thickBo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.75" thickBo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.75" thickBo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.75" thickBo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.75" thickBo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.75" thickBo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.75" thickBo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.75" thickBo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.75" thickBo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.75" thickBo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.75" thickBo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.75" thickBo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.75" thickBo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.75" thickBo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.75" thickBo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.75" thickBo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.75" thickBo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.75" thickBo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.75" thickBo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.75" thickBo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.75" thickBo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.75" thickBo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.75" thickBo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.75" thickBo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.75" thickBo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.75" thickBo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.75" thickBo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.75" thickBo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.75" thickBo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.75" thickBo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.75" thickBo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.75" thickBo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.75" thickBo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.75" thickBo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.75" thickBo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.75" thickBo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.75" thickBo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.75" thickBo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.75" thickBo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.75" thickBo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.75" thickBo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.75" thickBo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.75" thickBo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.75" thickBo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.75" thickBo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.75" thickBo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.75" thickBo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.75" thickBo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.75" thickBo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.75" thickBo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.75" thickBo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.75" thickBo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.75" thickBo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.75" thickBo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.75" thickBo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.75" thickBo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.75" thickBo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.75" thickBo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.75" thickBo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.75" thickBo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.75" thickBo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.75" thickBo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.75" thickBo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.75" thickBo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.75" thickBo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.75" thickBo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.75" thickBo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.75" thickBo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.75" thickBo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.75" thickBo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.75" thickBo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.75" thickBo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.75" thickBo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.75" thickBo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.75" thickBo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.75" thickBo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.75" thickBo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.75" thickBo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.75" thickBo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.75" thickBo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.75" thickBo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.75" thickBo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.75" thickBo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.75" thickBo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.75" thickBo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.75" thickBo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.75" thickBo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.75" thickBo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.75" thickBo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.75" thickBo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.75" thickBo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.75" thickBo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.75" thickBo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.75" thickBo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.75" thickBo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.75" thickBo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.75" thickBo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.75" thickBo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.75" thickBo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.75" thickBo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.75" thickBo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.75" thickBo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.75" thickBo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.75" thickBo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.75" thickBo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.75" thickBo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.75" thickBo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.75" thickBo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.75" thickBo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.75" thickBo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.75" thickBo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.75" thickBo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.75" thickBo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.75" thickBo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.75" thickBo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.75" thickBo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.75" thickBo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.75" thickBo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.75" thickBo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.75" thickBo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.75" thickBo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.75" thickBo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.75" thickBo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.75" thickBo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.75" thickBo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.75" thickBo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.75" thickBo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.75" thickBo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.75" thickBo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.75" thickBo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.75" thickBo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.75" thickBo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.75" thickBo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.75" thickBo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.75" thickBo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.75" thickBo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.75" thickBo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.75" thickBo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.75" thickBo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.75" thickBo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.75" thickBo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.75" thickBo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.75" thickBo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.75" thickBo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.75" thickBo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.75" thickBo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.75" thickBo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.75" thickBo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.75" thickBo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.75" thickBo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.75" thickBo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.75" thickBo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.75" thickBo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.75" thickBo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.75" thickBo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.75" thickBo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.75" thickBo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.75" thickBo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.75" thickBo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.75" thickBo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.75" thickBo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.75" thickBo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.75" thickBo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.75" thickBo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.75" thickBo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.75" thickBo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.75" thickBo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.75" thickBo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.75" thickBo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.75" thickBo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.75" thickBo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.75" thickBo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.75" thickBo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.75" thickBo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.75" thickBo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.75" thickBo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.75" thickBo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.75" thickBo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.75" thickBo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.75" thickBo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.75" thickBo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.75" thickBo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.75" thickBo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.75" thickBo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.75" thickBo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.75" thickBo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.75" thickBo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.75" thickBo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.75" thickBo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.75" thickBo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.75" thickBo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.75" thickBo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.75" thickBo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.75" thickBo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.75" thickBo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.75" thickBo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.75" thickBo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.75" thickBo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.75" thickBo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.75" thickBo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.75" thickBo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.75" thickBo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.75" thickBo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.75" thickBo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.75" thickBo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.75" thickBo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.75" thickBo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.75" thickBo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.75" thickBo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.75" thickBo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.75" thickBo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.75" thickBo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.75" thickBo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.75" thickBo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.75" thickBo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.75" thickBo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.75" thickBo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.75" thickBo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.75" thickBo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9BB6-B5C5-4312-ACF0-92FD13584025}">
  <dimension ref="A1:AY61"/>
  <sheetViews>
    <sheetView topLeftCell="F1" zoomScale="90" zoomScaleNormal="90" workbookViewId="0">
      <selection activeCell="P2" sqref="P2:W61"/>
    </sheetView>
  </sheetViews>
  <sheetFormatPr defaultRowHeight="15" x14ac:dyDescent="0.25"/>
  <cols>
    <col min="1" max="1" width="32" bestFit="1" customWidth="1"/>
    <col min="2" max="2" width="7.7109375" bestFit="1" customWidth="1"/>
    <col min="3" max="4" width="18.7109375" customWidth="1"/>
    <col min="5" max="5" width="30.28515625" customWidth="1"/>
    <col min="6" max="6" width="26.5703125" customWidth="1"/>
    <col min="7" max="7" width="30" customWidth="1"/>
    <col min="8" max="8" width="26.42578125" customWidth="1"/>
    <col min="9" max="9" width="30.28515625" customWidth="1"/>
    <col min="10" max="10" width="26.5703125" customWidth="1"/>
    <col min="13" max="13" width="31" bestFit="1" customWidth="1"/>
    <col min="15" max="15" width="14.85546875" customWidth="1"/>
    <col min="16" max="16" width="13" customWidth="1"/>
    <col min="17" max="17" width="9.42578125" customWidth="1"/>
    <col min="18" max="18" width="12.28515625" customWidth="1"/>
    <col min="19" max="19" width="14.42578125" customWidth="1"/>
    <col min="20" max="20" width="8.7109375" customWidth="1"/>
    <col min="21" max="21" width="12.85546875" customWidth="1"/>
    <col min="22" max="22" width="15.140625" customWidth="1"/>
    <col min="23" max="23" width="41.42578125" bestFit="1" customWidth="1"/>
  </cols>
  <sheetData>
    <row r="1" spans="1:51" ht="60.75" thickBot="1" x14ac:dyDescent="0.3">
      <c r="A1" t="s">
        <v>319</v>
      </c>
      <c r="B1" t="s">
        <v>416</v>
      </c>
      <c r="C1" t="s">
        <v>89</v>
      </c>
      <c r="D1" t="s">
        <v>88</v>
      </c>
      <c r="E1" t="s">
        <v>7</v>
      </c>
      <c r="F1" t="s">
        <v>8</v>
      </c>
      <c r="G1" t="s">
        <v>92</v>
      </c>
      <c r="H1" t="s">
        <v>90</v>
      </c>
      <c r="I1" t="s">
        <v>93</v>
      </c>
      <c r="J1" t="s">
        <v>91</v>
      </c>
      <c r="M1" t="s">
        <v>319</v>
      </c>
      <c r="N1" s="37" t="s">
        <v>343</v>
      </c>
      <c r="O1" s="37"/>
      <c r="P1" t="s">
        <v>89</v>
      </c>
      <c r="Q1" t="s">
        <v>88</v>
      </c>
      <c r="R1" t="s">
        <v>7</v>
      </c>
      <c r="S1" t="s">
        <v>8</v>
      </c>
      <c r="T1" t="s">
        <v>92</v>
      </c>
      <c r="U1" t="s">
        <v>90</v>
      </c>
      <c r="V1" t="s">
        <v>93</v>
      </c>
      <c r="W1" t="s">
        <v>91</v>
      </c>
      <c r="X1" s="37"/>
      <c r="Y1" s="37"/>
      <c r="Z1" s="37" t="s">
        <v>343</v>
      </c>
      <c r="AA1" s="37"/>
      <c r="AB1" s="37" t="s">
        <v>392</v>
      </c>
      <c r="AC1" s="37" t="s">
        <v>393</v>
      </c>
      <c r="AD1" s="37" t="s">
        <v>394</v>
      </c>
      <c r="AE1" s="37" t="s">
        <v>395</v>
      </c>
      <c r="AF1" s="37" t="s">
        <v>396</v>
      </c>
      <c r="AG1" s="37" t="s">
        <v>397</v>
      </c>
      <c r="AH1" s="37" t="s">
        <v>398</v>
      </c>
      <c r="AI1" s="37" t="s">
        <v>399</v>
      </c>
      <c r="AJ1" s="37" t="s">
        <v>400</v>
      </c>
      <c r="AK1" s="37" t="s">
        <v>401</v>
      </c>
      <c r="AL1" s="37" t="s">
        <v>402</v>
      </c>
      <c r="AM1" s="37" t="s">
        <v>403</v>
      </c>
      <c r="AN1" s="37" t="s">
        <v>404</v>
      </c>
      <c r="AO1" s="37" t="s">
        <v>405</v>
      </c>
      <c r="AP1" s="37" t="s">
        <v>406</v>
      </c>
      <c r="AQ1" s="37" t="s">
        <v>407</v>
      </c>
      <c r="AR1" s="37" t="s">
        <v>408</v>
      </c>
      <c r="AS1" s="37" t="s">
        <v>409</v>
      </c>
      <c r="AT1" s="37" t="s">
        <v>410</v>
      </c>
      <c r="AU1" s="37" t="s">
        <v>411</v>
      </c>
      <c r="AV1" s="37" t="s">
        <v>412</v>
      </c>
      <c r="AW1" s="37" t="s">
        <v>413</v>
      </c>
      <c r="AX1" s="37" t="s">
        <v>414</v>
      </c>
      <c r="AY1" s="37" t="s">
        <v>415</v>
      </c>
    </row>
    <row r="2" spans="1:51" ht="15.75" thickBot="1" x14ac:dyDescent="0.3">
      <c r="A2" t="s">
        <v>279</v>
      </c>
      <c r="B2" t="str">
        <f>RIGHT(A2,1)</f>
        <v>1</v>
      </c>
      <c r="M2" t="s">
        <v>279</v>
      </c>
      <c r="N2" s="38" t="s">
        <v>363</v>
      </c>
      <c r="O2" s="38">
        <v>1</v>
      </c>
      <c r="P2" s="39">
        <v>0</v>
      </c>
      <c r="Q2" s="39">
        <v>31</v>
      </c>
      <c r="R2" s="39">
        <v>0</v>
      </c>
      <c r="S2" s="39">
        <v>32</v>
      </c>
      <c r="T2" s="39">
        <v>0</v>
      </c>
      <c r="U2" s="39">
        <v>83</v>
      </c>
      <c r="V2" s="39">
        <v>0</v>
      </c>
      <c r="W2" s="39">
        <v>92</v>
      </c>
      <c r="Z2" s="38" t="s">
        <v>363</v>
      </c>
      <c r="AA2" s="38">
        <v>1</v>
      </c>
      <c r="AB2" s="39">
        <v>0</v>
      </c>
      <c r="AE2" s="39">
        <v>31</v>
      </c>
      <c r="AH2" s="39">
        <v>0</v>
      </c>
      <c r="AK2" s="39">
        <v>32</v>
      </c>
      <c r="AN2" s="39">
        <v>0</v>
      </c>
      <c r="AQ2" s="39">
        <v>83</v>
      </c>
      <c r="AT2" s="39">
        <v>0</v>
      </c>
      <c r="AW2" s="39">
        <v>92</v>
      </c>
    </row>
    <row r="3" spans="1:51" ht="15.75" thickBot="1" x14ac:dyDescent="0.3">
      <c r="A3" t="s">
        <v>300</v>
      </c>
      <c r="B3" t="str">
        <f>RIGHT(A3,1)</f>
        <v>1</v>
      </c>
      <c r="M3" t="s">
        <v>300</v>
      </c>
      <c r="N3" s="38" t="s">
        <v>367</v>
      </c>
      <c r="O3" s="38">
        <v>1</v>
      </c>
      <c r="P3" s="39">
        <v>6</v>
      </c>
      <c r="Q3" s="39">
        <v>16</v>
      </c>
      <c r="R3" s="39">
        <v>22</v>
      </c>
      <c r="S3" s="39">
        <v>28</v>
      </c>
      <c r="T3" s="39">
        <v>63</v>
      </c>
      <c r="U3" s="39">
        <v>73</v>
      </c>
      <c r="V3" s="39">
        <v>64</v>
      </c>
      <c r="W3" s="39">
        <v>80</v>
      </c>
      <c r="Z3" s="38" t="s">
        <v>367</v>
      </c>
      <c r="AA3" s="38">
        <v>1</v>
      </c>
      <c r="AB3" s="39">
        <v>6</v>
      </c>
      <c r="AE3" s="39">
        <v>16</v>
      </c>
      <c r="AH3" s="39">
        <v>22</v>
      </c>
      <c r="AK3" s="39">
        <v>28</v>
      </c>
      <c r="AN3" s="39">
        <v>63</v>
      </c>
      <c r="AQ3" s="39">
        <v>73</v>
      </c>
      <c r="AT3" s="39">
        <v>64</v>
      </c>
      <c r="AW3" s="39">
        <v>80</v>
      </c>
    </row>
    <row r="4" spans="1:51" ht="15.75" thickBot="1" x14ac:dyDescent="0.3">
      <c r="A4" t="s">
        <v>281</v>
      </c>
      <c r="B4" t="str">
        <f>RIGHT(A4,1)</f>
        <v>1</v>
      </c>
      <c r="M4" t="s">
        <v>281</v>
      </c>
      <c r="N4" s="38" t="s">
        <v>370</v>
      </c>
      <c r="O4" s="38">
        <v>1</v>
      </c>
      <c r="P4" s="39">
        <v>8</v>
      </c>
      <c r="Q4" s="39">
        <v>0</v>
      </c>
      <c r="R4" s="39">
        <v>15</v>
      </c>
      <c r="S4" s="39">
        <v>0</v>
      </c>
      <c r="T4" s="39">
        <v>56</v>
      </c>
      <c r="U4" s="39">
        <v>0</v>
      </c>
      <c r="V4" s="39">
        <v>46</v>
      </c>
      <c r="W4" s="39">
        <v>0</v>
      </c>
      <c r="Z4" s="38" t="s">
        <v>370</v>
      </c>
      <c r="AA4" s="38">
        <v>1</v>
      </c>
      <c r="AB4" s="39">
        <v>8</v>
      </c>
      <c r="AE4" s="39">
        <v>0</v>
      </c>
      <c r="AH4" s="39">
        <v>15</v>
      </c>
      <c r="AK4" s="39">
        <v>0</v>
      </c>
      <c r="AN4" s="39">
        <v>56</v>
      </c>
      <c r="AQ4" s="39">
        <v>0</v>
      </c>
      <c r="AT4" s="39">
        <v>46</v>
      </c>
      <c r="AW4" s="39">
        <v>0</v>
      </c>
    </row>
    <row r="5" spans="1:51" ht="15.75" thickBot="1" x14ac:dyDescent="0.3">
      <c r="A5" t="s">
        <v>282</v>
      </c>
      <c r="B5" t="str">
        <f>RIGHT(A5,1)</f>
        <v>1</v>
      </c>
      <c r="M5" t="s">
        <v>282</v>
      </c>
      <c r="N5" s="38" t="s">
        <v>372</v>
      </c>
      <c r="O5" s="38">
        <v>1</v>
      </c>
      <c r="P5" s="39">
        <v>2</v>
      </c>
      <c r="Q5" s="39">
        <v>13</v>
      </c>
      <c r="R5" s="39">
        <v>22</v>
      </c>
      <c r="S5" s="39">
        <v>24</v>
      </c>
      <c r="T5" s="39">
        <v>55</v>
      </c>
      <c r="U5" s="39">
        <v>80</v>
      </c>
      <c r="V5" s="39">
        <v>44</v>
      </c>
      <c r="W5" s="39">
        <v>85</v>
      </c>
      <c r="Z5" s="38" t="s">
        <v>372</v>
      </c>
      <c r="AA5" s="38">
        <v>1</v>
      </c>
      <c r="AB5" s="39">
        <v>2</v>
      </c>
      <c r="AE5" s="39">
        <v>13</v>
      </c>
      <c r="AH5" s="39">
        <v>22</v>
      </c>
      <c r="AK5" s="39">
        <v>24</v>
      </c>
      <c r="AN5" s="39">
        <v>55</v>
      </c>
      <c r="AQ5" s="39">
        <v>80</v>
      </c>
      <c r="AT5" s="39">
        <v>44</v>
      </c>
      <c r="AW5" s="39">
        <v>85</v>
      </c>
    </row>
    <row r="6" spans="1:51" ht="15.75" thickBot="1" x14ac:dyDescent="0.3">
      <c r="A6" t="s">
        <v>263</v>
      </c>
      <c r="B6" t="str">
        <f>RIGHT(A6,1)</f>
        <v>1</v>
      </c>
      <c r="M6" t="s">
        <v>263</v>
      </c>
      <c r="N6" s="38" t="s">
        <v>374</v>
      </c>
      <c r="O6" s="38">
        <v>1</v>
      </c>
      <c r="P6" s="39">
        <v>0</v>
      </c>
      <c r="Q6" s="39">
        <v>30</v>
      </c>
      <c r="R6" s="39">
        <v>0</v>
      </c>
      <c r="S6" s="39">
        <v>26</v>
      </c>
      <c r="T6" s="39">
        <v>0</v>
      </c>
      <c r="U6" s="39">
        <v>72</v>
      </c>
      <c r="V6" s="39">
        <v>0</v>
      </c>
      <c r="W6" s="39">
        <v>75</v>
      </c>
      <c r="Z6" s="38" t="s">
        <v>374</v>
      </c>
      <c r="AA6" s="38">
        <v>1</v>
      </c>
      <c r="AB6" s="39">
        <v>0</v>
      </c>
      <c r="AE6" s="39">
        <v>30</v>
      </c>
      <c r="AH6" s="39">
        <v>0</v>
      </c>
      <c r="AK6" s="39">
        <v>26</v>
      </c>
      <c r="AN6" s="39">
        <v>0</v>
      </c>
      <c r="AQ6" s="39">
        <v>72</v>
      </c>
      <c r="AT6" s="39">
        <v>0</v>
      </c>
      <c r="AW6" s="39">
        <v>75</v>
      </c>
    </row>
    <row r="7" spans="1:51" ht="15.75" thickBot="1" x14ac:dyDescent="0.3">
      <c r="A7" t="s">
        <v>304</v>
      </c>
      <c r="B7" t="str">
        <f>RIGHT(A7,1)</f>
        <v>1</v>
      </c>
      <c r="M7" t="s">
        <v>304</v>
      </c>
      <c r="N7" s="38" t="s">
        <v>375</v>
      </c>
      <c r="O7" s="38">
        <v>1</v>
      </c>
      <c r="P7" s="39">
        <v>9</v>
      </c>
      <c r="Q7" s="39">
        <v>9</v>
      </c>
      <c r="R7" s="39">
        <v>18</v>
      </c>
      <c r="S7" s="39">
        <v>22</v>
      </c>
      <c r="T7" s="39">
        <v>57</v>
      </c>
      <c r="U7" s="39">
        <v>80</v>
      </c>
      <c r="V7" s="39">
        <v>56</v>
      </c>
      <c r="W7" s="39">
        <v>95</v>
      </c>
      <c r="Z7" s="38" t="s">
        <v>375</v>
      </c>
      <c r="AA7" s="38">
        <v>1</v>
      </c>
      <c r="AB7" s="39">
        <v>9</v>
      </c>
      <c r="AE7" s="39">
        <v>9</v>
      </c>
      <c r="AH7" s="39">
        <v>18</v>
      </c>
      <c r="AK7" s="39">
        <v>22</v>
      </c>
      <c r="AN7" s="39">
        <v>57</v>
      </c>
      <c r="AQ7" s="39">
        <v>80</v>
      </c>
      <c r="AT7" s="39">
        <v>56</v>
      </c>
      <c r="AW7" s="39">
        <v>95</v>
      </c>
    </row>
    <row r="8" spans="1:51" ht="15.75" thickBot="1" x14ac:dyDescent="0.3">
      <c r="A8" t="s">
        <v>285</v>
      </c>
      <c r="B8" t="str">
        <f>RIGHT(A8,1)</f>
        <v>1</v>
      </c>
      <c r="M8" t="s">
        <v>285</v>
      </c>
      <c r="N8" s="38" t="s">
        <v>376</v>
      </c>
      <c r="O8" s="38">
        <v>1</v>
      </c>
      <c r="P8" s="39">
        <v>15</v>
      </c>
      <c r="Q8" s="39">
        <v>0</v>
      </c>
      <c r="R8" s="39">
        <v>19</v>
      </c>
      <c r="S8" s="39">
        <v>0</v>
      </c>
      <c r="T8" s="39">
        <v>62</v>
      </c>
      <c r="U8" s="39">
        <v>0</v>
      </c>
      <c r="V8" s="39">
        <v>60</v>
      </c>
      <c r="W8" s="39">
        <v>0</v>
      </c>
      <c r="Z8" s="38" t="s">
        <v>376</v>
      </c>
      <c r="AA8" s="38">
        <v>1</v>
      </c>
      <c r="AB8" s="39">
        <v>15</v>
      </c>
      <c r="AE8" s="39">
        <v>0</v>
      </c>
      <c r="AH8" s="39">
        <v>19</v>
      </c>
      <c r="AK8" s="39">
        <v>0</v>
      </c>
      <c r="AN8" s="39">
        <v>62</v>
      </c>
      <c r="AQ8" s="39">
        <v>0</v>
      </c>
      <c r="AT8" s="39">
        <v>60</v>
      </c>
      <c r="AW8" s="39">
        <v>0</v>
      </c>
    </row>
    <row r="9" spans="1:51" ht="15.75" thickBot="1" x14ac:dyDescent="0.3">
      <c r="A9" t="s">
        <v>266</v>
      </c>
      <c r="B9" t="str">
        <f>RIGHT(A9,1)</f>
        <v>1</v>
      </c>
      <c r="M9" t="s">
        <v>266</v>
      </c>
      <c r="N9" s="38" t="s">
        <v>377</v>
      </c>
      <c r="O9" s="38">
        <v>1</v>
      </c>
      <c r="P9" s="39">
        <v>5</v>
      </c>
      <c r="Q9" s="39">
        <v>10</v>
      </c>
      <c r="R9" s="39">
        <v>19</v>
      </c>
      <c r="S9" s="39">
        <v>28</v>
      </c>
      <c r="T9" s="39">
        <v>66</v>
      </c>
      <c r="U9" s="39">
        <v>90</v>
      </c>
      <c r="V9" s="39">
        <v>63</v>
      </c>
      <c r="W9" s="39">
        <v>109</v>
      </c>
      <c r="Z9" s="38" t="s">
        <v>377</v>
      </c>
      <c r="AA9" s="38">
        <v>1</v>
      </c>
      <c r="AB9" s="39">
        <v>5</v>
      </c>
      <c r="AE9" s="39">
        <v>10</v>
      </c>
      <c r="AH9" s="39">
        <v>19</v>
      </c>
      <c r="AK9" s="39">
        <v>28</v>
      </c>
      <c r="AN9" s="39">
        <v>66</v>
      </c>
      <c r="AQ9" s="39">
        <v>90</v>
      </c>
      <c r="AT9" s="39">
        <v>63</v>
      </c>
      <c r="AW9" s="39">
        <v>109</v>
      </c>
    </row>
    <row r="10" spans="1:51" ht="15.75" thickBot="1" x14ac:dyDescent="0.3">
      <c r="A10" t="s">
        <v>267</v>
      </c>
      <c r="B10" t="str">
        <f>RIGHT(A10,1)</f>
        <v>1</v>
      </c>
      <c r="M10" t="s">
        <v>267</v>
      </c>
      <c r="N10" s="38" t="s">
        <v>379</v>
      </c>
      <c r="O10" s="38">
        <v>1</v>
      </c>
      <c r="P10" s="39">
        <v>0</v>
      </c>
      <c r="Q10" s="39">
        <v>31</v>
      </c>
      <c r="R10" s="39">
        <v>0</v>
      </c>
      <c r="S10" s="39">
        <v>32</v>
      </c>
      <c r="T10" s="39">
        <v>0</v>
      </c>
      <c r="U10" s="39">
        <v>89</v>
      </c>
      <c r="V10" s="39">
        <v>0</v>
      </c>
      <c r="W10" s="39">
        <v>90</v>
      </c>
      <c r="Z10" s="38" t="s">
        <v>379</v>
      </c>
      <c r="AA10" s="38">
        <v>1</v>
      </c>
      <c r="AB10" s="39">
        <v>0</v>
      </c>
      <c r="AE10" s="39">
        <v>31</v>
      </c>
      <c r="AH10" s="39">
        <v>0</v>
      </c>
      <c r="AK10" s="39">
        <v>32</v>
      </c>
      <c r="AN10" s="39">
        <v>0</v>
      </c>
      <c r="AQ10" s="39">
        <v>89</v>
      </c>
      <c r="AT10" s="39">
        <v>0</v>
      </c>
      <c r="AW10" s="39">
        <v>90</v>
      </c>
    </row>
    <row r="11" spans="1:51" ht="15.75" thickBot="1" x14ac:dyDescent="0.3">
      <c r="A11" t="s">
        <v>308</v>
      </c>
      <c r="B11" t="str">
        <f>RIGHT(A11,1)</f>
        <v>1</v>
      </c>
      <c r="M11" t="s">
        <v>308</v>
      </c>
      <c r="N11" s="38" t="s">
        <v>380</v>
      </c>
      <c r="O11" s="38">
        <v>1</v>
      </c>
      <c r="P11" s="39">
        <v>7</v>
      </c>
      <c r="Q11" s="39">
        <v>14</v>
      </c>
      <c r="R11" s="39">
        <v>19</v>
      </c>
      <c r="S11" s="39">
        <v>30</v>
      </c>
      <c r="T11" s="39">
        <v>62</v>
      </c>
      <c r="U11" s="39">
        <v>85</v>
      </c>
      <c r="V11" s="39">
        <v>64</v>
      </c>
      <c r="W11" s="39">
        <v>91</v>
      </c>
      <c r="Z11" s="38" t="s">
        <v>380</v>
      </c>
      <c r="AA11" s="38">
        <v>1</v>
      </c>
      <c r="AB11" s="39">
        <v>7</v>
      </c>
      <c r="AE11" s="39">
        <v>14</v>
      </c>
      <c r="AH11" s="39">
        <v>19</v>
      </c>
      <c r="AK11" s="39">
        <v>30</v>
      </c>
      <c r="AN11" s="39">
        <v>62</v>
      </c>
      <c r="AQ11" s="39">
        <v>85</v>
      </c>
      <c r="AT11" s="39">
        <v>64</v>
      </c>
      <c r="AW11" s="39">
        <v>91</v>
      </c>
    </row>
    <row r="12" spans="1:51" ht="15.75" thickBot="1" x14ac:dyDescent="0.3">
      <c r="A12" t="s">
        <v>289</v>
      </c>
      <c r="B12" t="str">
        <f>RIGHT(A12,1)</f>
        <v>1</v>
      </c>
      <c r="M12" t="s">
        <v>289</v>
      </c>
      <c r="N12" s="38" t="s">
        <v>382</v>
      </c>
      <c r="O12" s="38">
        <v>1</v>
      </c>
      <c r="P12" s="39">
        <v>0</v>
      </c>
      <c r="Q12" s="39">
        <v>27</v>
      </c>
      <c r="R12" s="39">
        <v>0</v>
      </c>
      <c r="S12" s="39">
        <v>35</v>
      </c>
      <c r="T12" s="39">
        <v>0</v>
      </c>
      <c r="U12" s="39">
        <v>100</v>
      </c>
      <c r="V12" s="39">
        <v>0</v>
      </c>
      <c r="W12" s="39">
        <v>110</v>
      </c>
      <c r="Z12" s="38" t="s">
        <v>382</v>
      </c>
      <c r="AA12" s="38">
        <v>1</v>
      </c>
      <c r="AB12" s="39">
        <v>0</v>
      </c>
      <c r="AE12" s="39">
        <v>27</v>
      </c>
      <c r="AH12" s="39">
        <v>0</v>
      </c>
      <c r="AK12" s="39">
        <v>35</v>
      </c>
      <c r="AN12" s="39">
        <v>0</v>
      </c>
      <c r="AQ12" s="39">
        <v>100</v>
      </c>
      <c r="AT12" s="39">
        <v>0</v>
      </c>
      <c r="AW12" s="39">
        <v>110</v>
      </c>
    </row>
    <row r="13" spans="1:51" ht="15.75" thickBot="1" x14ac:dyDescent="0.3">
      <c r="A13" t="s">
        <v>290</v>
      </c>
      <c r="B13" t="str">
        <f>RIGHT(A13,1)</f>
        <v>1</v>
      </c>
      <c r="M13" t="s">
        <v>290</v>
      </c>
      <c r="N13" s="38" t="s">
        <v>383</v>
      </c>
      <c r="O13" s="38">
        <v>1</v>
      </c>
      <c r="P13" s="39">
        <v>6</v>
      </c>
      <c r="Q13" s="39">
        <v>15</v>
      </c>
      <c r="R13" s="39">
        <v>24</v>
      </c>
      <c r="S13" s="39">
        <v>30</v>
      </c>
      <c r="T13" s="39">
        <v>67</v>
      </c>
      <c r="U13" s="39">
        <v>90</v>
      </c>
      <c r="V13" s="39">
        <v>73</v>
      </c>
      <c r="W13" s="39">
        <v>95</v>
      </c>
      <c r="Z13" s="38" t="s">
        <v>383</v>
      </c>
      <c r="AA13" s="38">
        <v>1</v>
      </c>
      <c r="AB13" s="39">
        <v>6</v>
      </c>
      <c r="AE13" s="39">
        <v>15</v>
      </c>
      <c r="AH13" s="39">
        <v>24</v>
      </c>
      <c r="AK13" s="39">
        <v>30</v>
      </c>
      <c r="AN13" s="39">
        <v>67</v>
      </c>
      <c r="AQ13" s="39">
        <v>90</v>
      </c>
      <c r="AT13" s="39">
        <v>73</v>
      </c>
      <c r="AW13" s="39">
        <v>95</v>
      </c>
    </row>
    <row r="14" spans="1:51" ht="15.75" thickBot="1" x14ac:dyDescent="0.3">
      <c r="A14" t="s">
        <v>291</v>
      </c>
      <c r="B14" t="str">
        <f>RIGHT(A14,1)</f>
        <v>1</v>
      </c>
      <c r="M14" t="s">
        <v>291</v>
      </c>
      <c r="N14" s="38" t="s">
        <v>384</v>
      </c>
      <c r="O14" s="38">
        <v>1</v>
      </c>
      <c r="P14" s="39">
        <v>11</v>
      </c>
      <c r="Q14" s="39">
        <v>0</v>
      </c>
      <c r="R14" s="39">
        <v>21</v>
      </c>
      <c r="S14" s="39">
        <v>0</v>
      </c>
      <c r="T14" s="39">
        <v>80</v>
      </c>
      <c r="U14" s="39">
        <v>0</v>
      </c>
      <c r="V14" s="39">
        <v>90</v>
      </c>
      <c r="W14" s="39">
        <v>0</v>
      </c>
      <c r="Z14" s="38" t="s">
        <v>384</v>
      </c>
      <c r="AA14" s="38">
        <v>1</v>
      </c>
      <c r="AB14" s="39">
        <v>11</v>
      </c>
      <c r="AE14" s="39">
        <v>0</v>
      </c>
      <c r="AH14" s="39">
        <v>21</v>
      </c>
      <c r="AK14" s="39">
        <v>0</v>
      </c>
      <c r="AN14" s="39">
        <v>80</v>
      </c>
      <c r="AQ14" s="39">
        <v>0</v>
      </c>
      <c r="AT14" s="39">
        <v>90</v>
      </c>
      <c r="AW14" s="39">
        <v>0</v>
      </c>
    </row>
    <row r="15" spans="1:51" ht="15.75" thickBot="1" x14ac:dyDescent="0.3">
      <c r="A15" t="s">
        <v>292</v>
      </c>
      <c r="B15" t="str">
        <f>RIGHT(A15,1)</f>
        <v>1</v>
      </c>
      <c r="M15" t="s">
        <v>292</v>
      </c>
      <c r="N15" s="38" t="s">
        <v>385</v>
      </c>
      <c r="O15" s="38">
        <v>1</v>
      </c>
      <c r="P15" s="39">
        <v>8</v>
      </c>
      <c r="Q15" s="39">
        <v>9</v>
      </c>
      <c r="R15" s="39">
        <v>24</v>
      </c>
      <c r="S15" s="39">
        <v>27</v>
      </c>
      <c r="T15" s="39">
        <v>70</v>
      </c>
      <c r="U15" s="39">
        <v>80</v>
      </c>
      <c r="V15" s="39">
        <v>81</v>
      </c>
      <c r="W15" s="39">
        <v>86</v>
      </c>
      <c r="Z15" s="38" t="s">
        <v>385</v>
      </c>
      <c r="AA15" s="38">
        <v>1</v>
      </c>
      <c r="AB15" s="39">
        <v>8</v>
      </c>
      <c r="AE15" s="39">
        <v>9</v>
      </c>
      <c r="AH15" s="39">
        <v>24</v>
      </c>
      <c r="AK15" s="39">
        <v>27</v>
      </c>
      <c r="AN15" s="39">
        <v>70</v>
      </c>
      <c r="AQ15" s="39">
        <v>80</v>
      </c>
      <c r="AT15" s="39">
        <v>81</v>
      </c>
      <c r="AW15" s="39">
        <v>86</v>
      </c>
    </row>
    <row r="16" spans="1:51" ht="15.75" thickBot="1" x14ac:dyDescent="0.3">
      <c r="A16" t="s">
        <v>273</v>
      </c>
      <c r="B16" t="str">
        <f>RIGHT(A16,1)</f>
        <v>1</v>
      </c>
      <c r="M16" t="s">
        <v>273</v>
      </c>
      <c r="N16" s="38" t="s">
        <v>386</v>
      </c>
      <c r="O16" s="38">
        <v>1</v>
      </c>
      <c r="P16" s="39">
        <v>0</v>
      </c>
      <c r="Q16" s="39">
        <v>35</v>
      </c>
      <c r="R16" s="39">
        <v>0</v>
      </c>
      <c r="S16" s="39">
        <v>32</v>
      </c>
      <c r="T16" s="39">
        <v>0</v>
      </c>
      <c r="U16" s="39">
        <v>90</v>
      </c>
      <c r="V16" s="39">
        <v>0</v>
      </c>
      <c r="W16" s="39">
        <v>101</v>
      </c>
      <c r="Z16" s="38" t="s">
        <v>386</v>
      </c>
      <c r="AA16" s="38">
        <v>1</v>
      </c>
      <c r="AB16" s="39">
        <v>0</v>
      </c>
      <c r="AE16" s="39">
        <v>35</v>
      </c>
      <c r="AH16" s="39">
        <v>0</v>
      </c>
      <c r="AK16" s="39">
        <v>32</v>
      </c>
      <c r="AN16" s="39">
        <v>0</v>
      </c>
      <c r="AQ16" s="39">
        <v>90</v>
      </c>
      <c r="AT16" s="39">
        <v>0</v>
      </c>
      <c r="AW16" s="39">
        <v>101</v>
      </c>
    </row>
    <row r="17" spans="1:50" ht="15.75" thickBot="1" x14ac:dyDescent="0.3">
      <c r="A17" t="s">
        <v>294</v>
      </c>
      <c r="B17" t="str">
        <f>RIGHT(A17,1)</f>
        <v>1</v>
      </c>
      <c r="M17" t="s">
        <v>294</v>
      </c>
      <c r="N17" s="38" t="s">
        <v>387</v>
      </c>
      <c r="O17" s="38">
        <v>1</v>
      </c>
      <c r="P17" s="39">
        <v>4</v>
      </c>
      <c r="Q17" s="39">
        <v>13</v>
      </c>
      <c r="R17" s="39">
        <v>21</v>
      </c>
      <c r="S17" s="39">
        <v>29</v>
      </c>
      <c r="T17" s="39">
        <v>66</v>
      </c>
      <c r="U17" s="39">
        <v>96</v>
      </c>
      <c r="V17" s="39">
        <v>70</v>
      </c>
      <c r="W17" s="39">
        <v>120</v>
      </c>
      <c r="Z17" s="38" t="s">
        <v>387</v>
      </c>
      <c r="AA17" s="38">
        <v>1</v>
      </c>
      <c r="AB17" s="39">
        <v>4</v>
      </c>
      <c r="AE17" s="39">
        <v>13</v>
      </c>
      <c r="AH17" s="39">
        <v>21</v>
      </c>
      <c r="AK17" s="39">
        <v>29</v>
      </c>
      <c r="AN17" s="39">
        <v>66</v>
      </c>
      <c r="AQ17" s="39">
        <v>96</v>
      </c>
      <c r="AT17" s="39">
        <v>70</v>
      </c>
      <c r="AW17" s="39">
        <v>120</v>
      </c>
    </row>
    <row r="18" spans="1:50" ht="15.75" thickBot="1" x14ac:dyDescent="0.3">
      <c r="A18" t="s">
        <v>315</v>
      </c>
      <c r="B18" t="str">
        <f>RIGHT(A18,1)</f>
        <v>1</v>
      </c>
      <c r="M18" t="s">
        <v>315</v>
      </c>
      <c r="N18" s="38" t="s">
        <v>388</v>
      </c>
      <c r="O18" s="38">
        <v>1</v>
      </c>
      <c r="P18" s="39">
        <v>13</v>
      </c>
      <c r="Q18" s="39">
        <v>0</v>
      </c>
      <c r="R18" s="39">
        <v>19</v>
      </c>
      <c r="S18" s="39">
        <v>0</v>
      </c>
      <c r="T18" s="39">
        <v>80</v>
      </c>
      <c r="U18" s="39">
        <v>0</v>
      </c>
      <c r="V18" s="39">
        <v>81</v>
      </c>
      <c r="W18" s="39">
        <v>0</v>
      </c>
      <c r="Z18" s="38" t="s">
        <v>388</v>
      </c>
      <c r="AA18" s="38">
        <v>1</v>
      </c>
      <c r="AB18" s="39">
        <v>13</v>
      </c>
      <c r="AE18" s="39">
        <v>0</v>
      </c>
      <c r="AH18" s="39">
        <v>19</v>
      </c>
      <c r="AK18" s="39">
        <v>0</v>
      </c>
      <c r="AN18" s="39">
        <v>80</v>
      </c>
      <c r="AQ18" s="39">
        <v>0</v>
      </c>
      <c r="AT18" s="39">
        <v>81</v>
      </c>
      <c r="AW18" s="39">
        <v>0</v>
      </c>
    </row>
    <row r="19" spans="1:50" ht="15.75" thickBot="1" x14ac:dyDescent="0.3">
      <c r="A19" t="s">
        <v>316</v>
      </c>
      <c r="B19" t="str">
        <f>RIGHT(A19,1)</f>
        <v>1</v>
      </c>
      <c r="M19" t="s">
        <v>316</v>
      </c>
      <c r="N19" s="38" t="s">
        <v>389</v>
      </c>
      <c r="O19" s="38">
        <v>1</v>
      </c>
      <c r="P19" s="39">
        <v>7</v>
      </c>
      <c r="Q19" s="39">
        <v>12</v>
      </c>
      <c r="R19" s="39">
        <v>21</v>
      </c>
      <c r="S19" s="39">
        <v>24</v>
      </c>
      <c r="T19" s="39">
        <v>69</v>
      </c>
      <c r="U19" s="39">
        <v>91</v>
      </c>
      <c r="V19" s="39">
        <v>65</v>
      </c>
      <c r="W19" s="39">
        <v>94</v>
      </c>
      <c r="Z19" s="38" t="s">
        <v>389</v>
      </c>
      <c r="AA19" s="38">
        <v>1</v>
      </c>
      <c r="AB19" s="39">
        <v>7</v>
      </c>
      <c r="AE19" s="39">
        <v>12</v>
      </c>
      <c r="AH19" s="39">
        <v>21</v>
      </c>
      <c r="AK19" s="39">
        <v>24</v>
      </c>
      <c r="AN19" s="39">
        <v>69</v>
      </c>
      <c r="AQ19" s="39">
        <v>91</v>
      </c>
      <c r="AT19" s="39">
        <v>65</v>
      </c>
      <c r="AW19" s="39">
        <v>94</v>
      </c>
    </row>
    <row r="20" spans="1:50" ht="15.75" thickBot="1" x14ac:dyDescent="0.3">
      <c r="A20" t="s">
        <v>297</v>
      </c>
      <c r="B20" t="str">
        <f>RIGHT(A20,1)</f>
        <v>1</v>
      </c>
      <c r="M20" t="s">
        <v>297</v>
      </c>
      <c r="N20" s="38" t="s">
        <v>390</v>
      </c>
      <c r="O20" s="38">
        <v>1</v>
      </c>
      <c r="P20" s="39">
        <v>13</v>
      </c>
      <c r="Q20" s="39">
        <v>0</v>
      </c>
      <c r="R20" s="39">
        <v>25</v>
      </c>
      <c r="S20" s="39">
        <v>0</v>
      </c>
      <c r="T20" s="39">
        <v>84</v>
      </c>
      <c r="U20" s="39">
        <v>0</v>
      </c>
      <c r="V20" s="39">
        <v>48</v>
      </c>
      <c r="W20" s="39">
        <v>0</v>
      </c>
      <c r="Z20" s="38" t="s">
        <v>390</v>
      </c>
      <c r="AA20" s="38">
        <v>1</v>
      </c>
      <c r="AB20" s="39">
        <v>13</v>
      </c>
      <c r="AE20" s="39">
        <v>0</v>
      </c>
      <c r="AH20" s="39">
        <v>25</v>
      </c>
      <c r="AK20" s="39">
        <v>0</v>
      </c>
      <c r="AN20" s="39">
        <v>84</v>
      </c>
      <c r="AQ20" s="39">
        <v>0</v>
      </c>
      <c r="AT20" s="39">
        <v>48</v>
      </c>
      <c r="AW20" s="39">
        <v>0</v>
      </c>
    </row>
    <row r="21" spans="1:50" ht="15.75" thickBot="1" x14ac:dyDescent="0.3">
      <c r="A21" t="s">
        <v>298</v>
      </c>
      <c r="B21" t="str">
        <f>RIGHT(A21,1)</f>
        <v>1</v>
      </c>
      <c r="M21" t="s">
        <v>298</v>
      </c>
      <c r="N21" s="38" t="s">
        <v>391</v>
      </c>
      <c r="O21" s="38">
        <v>1</v>
      </c>
      <c r="P21" s="39">
        <v>7</v>
      </c>
      <c r="Q21" s="39">
        <v>14</v>
      </c>
      <c r="R21" s="39">
        <v>22</v>
      </c>
      <c r="S21" s="39">
        <v>25</v>
      </c>
      <c r="T21" s="39">
        <v>80</v>
      </c>
      <c r="U21" s="39">
        <v>78</v>
      </c>
      <c r="V21" s="39">
        <v>81</v>
      </c>
      <c r="W21" s="39">
        <v>92</v>
      </c>
      <c r="Z21" s="38" t="s">
        <v>391</v>
      </c>
      <c r="AA21" s="38">
        <v>1</v>
      </c>
      <c r="AB21" s="39">
        <v>7</v>
      </c>
      <c r="AE21" s="39">
        <v>14</v>
      </c>
      <c r="AH21" s="39">
        <v>22</v>
      </c>
      <c r="AK21" s="39">
        <v>25</v>
      </c>
      <c r="AN21" s="39">
        <v>80</v>
      </c>
      <c r="AQ21" s="39">
        <v>78</v>
      </c>
      <c r="AT21" s="39">
        <v>81</v>
      </c>
      <c r="AW21" s="39">
        <v>92</v>
      </c>
    </row>
    <row r="22" spans="1:50" ht="15.75" thickBot="1" x14ac:dyDescent="0.3">
      <c r="A22" t="s">
        <v>259</v>
      </c>
      <c r="B22" t="str">
        <f>RIGHT(A22,1)</f>
        <v>2</v>
      </c>
      <c r="M22" t="s">
        <v>259</v>
      </c>
      <c r="N22" s="38" t="s">
        <v>363</v>
      </c>
      <c r="O22" s="40">
        <v>2</v>
      </c>
      <c r="P22" s="39">
        <v>0</v>
      </c>
      <c r="Q22" s="39">
        <v>18</v>
      </c>
      <c r="R22" s="39">
        <v>0</v>
      </c>
      <c r="S22" s="39">
        <v>26</v>
      </c>
      <c r="T22" s="39">
        <v>0</v>
      </c>
      <c r="U22" s="39">
        <v>74</v>
      </c>
      <c r="V22" s="39">
        <v>0</v>
      </c>
      <c r="W22" s="39">
        <v>90</v>
      </c>
      <c r="Z22" s="38" t="s">
        <v>363</v>
      </c>
      <c r="AA22" s="40">
        <v>2</v>
      </c>
      <c r="AC22" s="39">
        <v>0</v>
      </c>
      <c r="AF22" s="39">
        <v>18</v>
      </c>
      <c r="AI22" s="39">
        <v>0</v>
      </c>
      <c r="AL22" s="39">
        <v>26</v>
      </c>
      <c r="AO22" s="39">
        <v>0</v>
      </c>
      <c r="AR22" s="39">
        <v>74</v>
      </c>
      <c r="AU22" s="39">
        <v>0</v>
      </c>
      <c r="AX22" s="39">
        <v>90</v>
      </c>
    </row>
    <row r="23" spans="1:50" ht="15.75" thickBot="1" x14ac:dyDescent="0.3">
      <c r="A23" t="s">
        <v>260</v>
      </c>
      <c r="B23" t="str">
        <f>RIGHT(A23,1)</f>
        <v>2</v>
      </c>
      <c r="M23" t="s">
        <v>260</v>
      </c>
      <c r="N23" s="38" t="s">
        <v>367</v>
      </c>
      <c r="O23" s="40">
        <v>2</v>
      </c>
      <c r="P23" s="39">
        <v>5</v>
      </c>
      <c r="Q23" s="39">
        <v>8</v>
      </c>
      <c r="R23" s="39">
        <v>20</v>
      </c>
      <c r="S23" s="39">
        <v>27</v>
      </c>
      <c r="T23" s="39">
        <v>63</v>
      </c>
      <c r="U23" s="39">
        <v>72</v>
      </c>
      <c r="V23" s="39">
        <v>62</v>
      </c>
      <c r="W23" s="39">
        <v>76</v>
      </c>
      <c r="Z23" s="38" t="s">
        <v>367</v>
      </c>
      <c r="AA23" s="40">
        <v>2</v>
      </c>
      <c r="AC23" s="39">
        <v>5</v>
      </c>
      <c r="AF23" s="39">
        <v>8</v>
      </c>
      <c r="AI23" s="39">
        <v>20</v>
      </c>
      <c r="AL23" s="39">
        <v>27</v>
      </c>
      <c r="AO23" s="39">
        <v>63</v>
      </c>
      <c r="AR23" s="39">
        <v>72</v>
      </c>
      <c r="AU23" s="39">
        <v>62</v>
      </c>
      <c r="AX23" s="39">
        <v>76</v>
      </c>
    </row>
    <row r="24" spans="1:50" ht="15.75" thickBot="1" x14ac:dyDescent="0.3">
      <c r="A24" t="s">
        <v>261</v>
      </c>
      <c r="B24" t="str">
        <f>RIGHT(A24,1)</f>
        <v>2</v>
      </c>
      <c r="M24" t="s">
        <v>261</v>
      </c>
      <c r="N24" s="38" t="s">
        <v>370</v>
      </c>
      <c r="O24" s="40">
        <v>2</v>
      </c>
      <c r="P24" s="39">
        <v>9</v>
      </c>
      <c r="Q24" s="39">
        <v>0</v>
      </c>
      <c r="R24" s="39">
        <v>21</v>
      </c>
      <c r="S24" s="39">
        <v>0</v>
      </c>
      <c r="T24" s="39">
        <v>54</v>
      </c>
      <c r="U24" s="39">
        <v>0</v>
      </c>
      <c r="V24" s="39">
        <v>60</v>
      </c>
      <c r="W24" s="39">
        <v>0</v>
      </c>
      <c r="Z24" s="38" t="s">
        <v>370</v>
      </c>
      <c r="AA24" s="40">
        <v>2</v>
      </c>
      <c r="AC24" s="39">
        <v>9</v>
      </c>
      <c r="AF24" s="39">
        <v>0</v>
      </c>
      <c r="AI24" s="39">
        <v>21</v>
      </c>
      <c r="AL24" s="39">
        <v>0</v>
      </c>
      <c r="AO24" s="39">
        <v>54</v>
      </c>
      <c r="AR24" s="39">
        <v>0</v>
      </c>
      <c r="AU24" s="39">
        <v>60</v>
      </c>
      <c r="AX24" s="39">
        <v>0</v>
      </c>
    </row>
    <row r="25" spans="1:50" ht="15.75" thickBot="1" x14ac:dyDescent="0.3">
      <c r="A25" t="s">
        <v>302</v>
      </c>
      <c r="B25" t="str">
        <f>RIGHT(A25,1)</f>
        <v>2</v>
      </c>
      <c r="M25" t="s">
        <v>302</v>
      </c>
      <c r="N25" s="38" t="s">
        <v>372</v>
      </c>
      <c r="O25" s="40">
        <v>2</v>
      </c>
      <c r="P25" s="39">
        <v>4</v>
      </c>
      <c r="Q25" s="39">
        <v>14</v>
      </c>
      <c r="R25" s="39">
        <v>18</v>
      </c>
      <c r="S25" s="39">
        <v>26</v>
      </c>
      <c r="T25" s="39">
        <v>53</v>
      </c>
      <c r="U25" s="39">
        <v>83</v>
      </c>
      <c r="V25" s="39">
        <v>46</v>
      </c>
      <c r="W25" s="39">
        <v>88</v>
      </c>
      <c r="Z25" s="38" t="s">
        <v>372</v>
      </c>
      <c r="AA25" s="40">
        <v>2</v>
      </c>
      <c r="AC25" s="39">
        <v>4</v>
      </c>
      <c r="AF25" s="39">
        <v>14</v>
      </c>
      <c r="AI25" s="39">
        <v>18</v>
      </c>
      <c r="AL25" s="39">
        <v>26</v>
      </c>
      <c r="AO25" s="39">
        <v>53</v>
      </c>
      <c r="AR25" s="39">
        <v>83</v>
      </c>
      <c r="AU25" s="39">
        <v>46</v>
      </c>
      <c r="AX25" s="39">
        <v>88</v>
      </c>
    </row>
    <row r="26" spans="1:50" ht="15.75" thickBot="1" x14ac:dyDescent="0.3">
      <c r="A26" t="s">
        <v>303</v>
      </c>
      <c r="B26" t="str">
        <f>RIGHT(A26,1)</f>
        <v>2</v>
      </c>
      <c r="M26" t="s">
        <v>303</v>
      </c>
      <c r="N26" s="38" t="s">
        <v>374</v>
      </c>
      <c r="O26" s="40">
        <v>2</v>
      </c>
      <c r="P26" s="39">
        <v>0</v>
      </c>
      <c r="Q26" s="39">
        <v>31</v>
      </c>
      <c r="R26" s="39">
        <v>0</v>
      </c>
      <c r="S26" s="39">
        <v>29</v>
      </c>
      <c r="T26" s="39">
        <v>0</v>
      </c>
      <c r="U26" s="39">
        <v>73</v>
      </c>
      <c r="V26" s="39">
        <v>0</v>
      </c>
      <c r="W26" s="39">
        <v>80</v>
      </c>
      <c r="Z26" s="38" t="s">
        <v>374</v>
      </c>
      <c r="AA26" s="40">
        <v>2</v>
      </c>
      <c r="AC26" s="39">
        <v>0</v>
      </c>
      <c r="AF26" s="39">
        <v>31</v>
      </c>
      <c r="AI26" s="39">
        <v>0</v>
      </c>
      <c r="AL26" s="39">
        <v>29</v>
      </c>
      <c r="AO26" s="39">
        <v>0</v>
      </c>
      <c r="AR26" s="39">
        <v>73</v>
      </c>
      <c r="AU26" s="39">
        <v>0</v>
      </c>
      <c r="AX26" s="39">
        <v>80</v>
      </c>
    </row>
    <row r="27" spans="1:50" ht="15.75" thickBot="1" x14ac:dyDescent="0.3">
      <c r="A27" t="s">
        <v>264</v>
      </c>
      <c r="B27" t="str">
        <f>RIGHT(A27,1)</f>
        <v>2</v>
      </c>
      <c r="M27" t="s">
        <v>264</v>
      </c>
      <c r="N27" s="38" t="s">
        <v>375</v>
      </c>
      <c r="O27" s="40">
        <v>2</v>
      </c>
      <c r="P27" s="39">
        <v>8</v>
      </c>
      <c r="Q27" s="39">
        <v>18</v>
      </c>
      <c r="R27" s="39">
        <v>20</v>
      </c>
      <c r="S27" s="39">
        <v>30</v>
      </c>
      <c r="T27" s="39">
        <v>64</v>
      </c>
      <c r="U27" s="39">
        <v>82</v>
      </c>
      <c r="V27" s="39">
        <v>63</v>
      </c>
      <c r="W27" s="39">
        <v>94</v>
      </c>
      <c r="Z27" s="38" t="s">
        <v>375</v>
      </c>
      <c r="AA27" s="40">
        <v>2</v>
      </c>
      <c r="AC27" s="39">
        <v>8</v>
      </c>
      <c r="AF27" s="39">
        <v>18</v>
      </c>
      <c r="AI27" s="39">
        <v>20</v>
      </c>
      <c r="AL27" s="39">
        <v>30</v>
      </c>
      <c r="AO27" s="39">
        <v>64</v>
      </c>
      <c r="AR27" s="39">
        <v>82</v>
      </c>
      <c r="AU27" s="39">
        <v>63</v>
      </c>
      <c r="AX27" s="39">
        <v>94</v>
      </c>
    </row>
    <row r="28" spans="1:50" ht="15.75" thickBot="1" x14ac:dyDescent="0.3">
      <c r="A28" t="s">
        <v>305</v>
      </c>
      <c r="B28" t="str">
        <f>RIGHT(A28,1)</f>
        <v>2</v>
      </c>
      <c r="M28" t="s">
        <v>305</v>
      </c>
      <c r="N28" s="38" t="s">
        <v>376</v>
      </c>
      <c r="O28" s="40">
        <v>2</v>
      </c>
      <c r="P28" s="39">
        <v>12</v>
      </c>
      <c r="Q28" s="39">
        <v>0</v>
      </c>
      <c r="R28" s="39">
        <v>19</v>
      </c>
      <c r="S28" s="39">
        <v>0</v>
      </c>
      <c r="T28" s="39">
        <v>64</v>
      </c>
      <c r="U28" s="39">
        <v>0</v>
      </c>
      <c r="V28" s="39">
        <v>70</v>
      </c>
      <c r="W28" s="39">
        <v>0</v>
      </c>
      <c r="Z28" s="38" t="s">
        <v>376</v>
      </c>
      <c r="AA28" s="40">
        <v>2</v>
      </c>
      <c r="AC28" s="39">
        <v>12</v>
      </c>
      <c r="AF28" s="39">
        <v>0</v>
      </c>
      <c r="AI28" s="39">
        <v>19</v>
      </c>
      <c r="AL28" s="39">
        <v>0</v>
      </c>
      <c r="AO28" s="39">
        <v>64</v>
      </c>
      <c r="AR28" s="39">
        <v>0</v>
      </c>
      <c r="AU28" s="39">
        <v>70</v>
      </c>
      <c r="AX28" s="39">
        <v>0</v>
      </c>
    </row>
    <row r="29" spans="1:50" ht="15.75" thickBot="1" x14ac:dyDescent="0.3">
      <c r="A29" t="s">
        <v>286</v>
      </c>
      <c r="B29" t="str">
        <f>RIGHT(A29,1)</f>
        <v>2</v>
      </c>
      <c r="M29" t="s">
        <v>286</v>
      </c>
      <c r="N29" s="38" t="s">
        <v>377</v>
      </c>
      <c r="O29" s="40">
        <v>2</v>
      </c>
      <c r="P29" s="39">
        <v>4</v>
      </c>
      <c r="Q29" s="39">
        <v>11</v>
      </c>
      <c r="R29" s="39">
        <v>19</v>
      </c>
      <c r="S29" s="39">
        <v>28</v>
      </c>
      <c r="T29" s="39">
        <v>7</v>
      </c>
      <c r="U29" s="39">
        <v>94</v>
      </c>
      <c r="V29" s="39">
        <v>70</v>
      </c>
      <c r="W29" s="39">
        <v>111</v>
      </c>
      <c r="Z29" s="38" t="s">
        <v>377</v>
      </c>
      <c r="AA29" s="40">
        <v>2</v>
      </c>
      <c r="AC29" s="39">
        <v>4</v>
      </c>
      <c r="AF29" s="39">
        <v>11</v>
      </c>
      <c r="AI29" s="39">
        <v>19</v>
      </c>
      <c r="AL29" s="39">
        <v>28</v>
      </c>
      <c r="AO29" s="39">
        <v>7</v>
      </c>
      <c r="AR29" s="39">
        <v>94</v>
      </c>
      <c r="AU29" s="39">
        <v>70</v>
      </c>
      <c r="AX29" s="39">
        <v>111</v>
      </c>
    </row>
    <row r="30" spans="1:50" ht="15.75" thickBot="1" x14ac:dyDescent="0.3">
      <c r="A30" t="s">
        <v>287</v>
      </c>
      <c r="B30" t="str">
        <f>RIGHT(A30,1)</f>
        <v>2</v>
      </c>
      <c r="M30" t="s">
        <v>287</v>
      </c>
      <c r="N30" s="38" t="s">
        <v>379</v>
      </c>
      <c r="O30" s="40">
        <v>2</v>
      </c>
      <c r="P30" s="39">
        <v>0</v>
      </c>
      <c r="Q30" s="39">
        <v>25</v>
      </c>
      <c r="R30" s="39">
        <v>0</v>
      </c>
      <c r="S30" s="39">
        <v>31</v>
      </c>
      <c r="T30" s="39">
        <v>0</v>
      </c>
      <c r="U30" s="39">
        <v>85</v>
      </c>
      <c r="V30" s="39">
        <v>0</v>
      </c>
      <c r="W30" s="39">
        <v>86</v>
      </c>
      <c r="Z30" s="38" t="s">
        <v>379</v>
      </c>
      <c r="AA30" s="40">
        <v>2</v>
      </c>
      <c r="AC30" s="39">
        <v>0</v>
      </c>
      <c r="AF30" s="39">
        <v>25</v>
      </c>
      <c r="AI30" s="39">
        <v>0</v>
      </c>
      <c r="AL30" s="39">
        <v>31</v>
      </c>
      <c r="AO30" s="39">
        <v>0</v>
      </c>
      <c r="AR30" s="39">
        <v>85</v>
      </c>
      <c r="AU30" s="39">
        <v>0</v>
      </c>
      <c r="AX30" s="39">
        <v>86</v>
      </c>
    </row>
    <row r="31" spans="1:50" ht="15.75" thickBot="1" x14ac:dyDescent="0.3">
      <c r="A31" t="s">
        <v>288</v>
      </c>
      <c r="B31" t="str">
        <f>RIGHT(A31,1)</f>
        <v>2</v>
      </c>
      <c r="M31" t="s">
        <v>288</v>
      </c>
      <c r="N31" s="38" t="s">
        <v>380</v>
      </c>
      <c r="O31" s="40">
        <v>2</v>
      </c>
      <c r="P31" s="39">
        <v>7</v>
      </c>
      <c r="Q31" s="39">
        <v>14</v>
      </c>
      <c r="R31" s="39">
        <v>21</v>
      </c>
      <c r="S31" s="39">
        <v>27</v>
      </c>
      <c r="T31" s="39">
        <v>66</v>
      </c>
      <c r="U31" s="39">
        <v>87</v>
      </c>
      <c r="V31" s="39">
        <v>70</v>
      </c>
      <c r="W31" s="39">
        <v>92</v>
      </c>
      <c r="Z31" s="38" t="s">
        <v>380</v>
      </c>
      <c r="AA31" s="40">
        <v>2</v>
      </c>
      <c r="AC31" s="39">
        <v>7</v>
      </c>
      <c r="AF31" s="39">
        <v>14</v>
      </c>
      <c r="AI31" s="39">
        <v>21</v>
      </c>
      <c r="AL31" s="39">
        <v>27</v>
      </c>
      <c r="AO31" s="39">
        <v>66</v>
      </c>
      <c r="AR31" s="39">
        <v>87</v>
      </c>
      <c r="AU31" s="39">
        <v>70</v>
      </c>
      <c r="AX31" s="39">
        <v>92</v>
      </c>
    </row>
    <row r="32" spans="1:50" ht="15.75" thickBot="1" x14ac:dyDescent="0.3">
      <c r="A32" t="s">
        <v>269</v>
      </c>
      <c r="B32" t="str">
        <f>RIGHT(A32,1)</f>
        <v>2</v>
      </c>
      <c r="M32" t="s">
        <v>269</v>
      </c>
      <c r="N32" s="38" t="s">
        <v>382</v>
      </c>
      <c r="O32" s="40">
        <v>2</v>
      </c>
      <c r="P32" s="39">
        <v>0</v>
      </c>
      <c r="Q32" s="39">
        <v>28</v>
      </c>
      <c r="R32" s="39">
        <v>0</v>
      </c>
      <c r="S32" s="39">
        <v>35</v>
      </c>
      <c r="T32" s="39">
        <v>0</v>
      </c>
      <c r="U32" s="39">
        <v>95</v>
      </c>
      <c r="V32" s="39">
        <v>0</v>
      </c>
      <c r="W32" s="39">
        <v>120</v>
      </c>
      <c r="Z32" s="38" t="s">
        <v>382</v>
      </c>
      <c r="AA32" s="40">
        <v>2</v>
      </c>
      <c r="AC32" s="39">
        <v>0</v>
      </c>
      <c r="AF32" s="39">
        <v>28</v>
      </c>
      <c r="AI32" s="39">
        <v>0</v>
      </c>
      <c r="AL32" s="39">
        <v>35</v>
      </c>
      <c r="AO32" s="39">
        <v>0</v>
      </c>
      <c r="AR32" s="39">
        <v>95</v>
      </c>
      <c r="AU32" s="39">
        <v>0</v>
      </c>
      <c r="AX32" s="39">
        <v>120</v>
      </c>
    </row>
    <row r="33" spans="1:51" ht="15.75" thickBot="1" x14ac:dyDescent="0.3">
      <c r="A33" t="s">
        <v>270</v>
      </c>
      <c r="B33" t="str">
        <f>RIGHT(A33,1)</f>
        <v>2</v>
      </c>
      <c r="M33" t="s">
        <v>270</v>
      </c>
      <c r="N33" s="38" t="s">
        <v>383</v>
      </c>
      <c r="O33" s="40">
        <v>2</v>
      </c>
      <c r="P33" s="39">
        <v>7</v>
      </c>
      <c r="Q33" s="39">
        <v>13</v>
      </c>
      <c r="R33" s="39">
        <v>23</v>
      </c>
      <c r="S33" s="39">
        <v>28</v>
      </c>
      <c r="T33" s="39">
        <v>65</v>
      </c>
      <c r="U33" s="39">
        <v>86</v>
      </c>
      <c r="V33" s="39">
        <v>62</v>
      </c>
      <c r="W33" s="39">
        <v>99</v>
      </c>
      <c r="Z33" s="38" t="s">
        <v>383</v>
      </c>
      <c r="AA33" s="40">
        <v>2</v>
      </c>
      <c r="AC33" s="39">
        <v>7</v>
      </c>
      <c r="AF33" s="39">
        <v>13</v>
      </c>
      <c r="AI33" s="39">
        <v>23</v>
      </c>
      <c r="AL33" s="39">
        <v>28</v>
      </c>
      <c r="AO33" s="39">
        <v>65</v>
      </c>
      <c r="AR33" s="39">
        <v>86</v>
      </c>
      <c r="AU33" s="39">
        <v>62</v>
      </c>
      <c r="AX33" s="39">
        <v>99</v>
      </c>
    </row>
    <row r="34" spans="1:51" ht="15.75" thickBot="1" x14ac:dyDescent="0.3">
      <c r="A34" t="s">
        <v>271</v>
      </c>
      <c r="B34" t="str">
        <f>RIGHT(A34,1)</f>
        <v>2</v>
      </c>
      <c r="M34" t="s">
        <v>271</v>
      </c>
      <c r="N34" s="38" t="s">
        <v>384</v>
      </c>
      <c r="O34" s="40">
        <v>2</v>
      </c>
      <c r="P34" s="39">
        <v>17</v>
      </c>
      <c r="Q34" s="39">
        <v>0</v>
      </c>
      <c r="R34" s="39">
        <v>22</v>
      </c>
      <c r="S34" s="39">
        <v>0</v>
      </c>
      <c r="T34" s="39">
        <v>75</v>
      </c>
      <c r="U34" s="39">
        <v>0</v>
      </c>
      <c r="V34" s="39">
        <v>92</v>
      </c>
      <c r="W34" s="39">
        <v>0</v>
      </c>
      <c r="Z34" s="38" t="s">
        <v>384</v>
      </c>
      <c r="AA34" s="40">
        <v>2</v>
      </c>
      <c r="AC34" s="39">
        <v>17</v>
      </c>
      <c r="AF34" s="39">
        <v>0</v>
      </c>
      <c r="AI34" s="39">
        <v>22</v>
      </c>
      <c r="AL34" s="39">
        <v>0</v>
      </c>
      <c r="AO34" s="39">
        <v>75</v>
      </c>
      <c r="AR34" s="39">
        <v>0</v>
      </c>
      <c r="AU34" s="39">
        <v>92</v>
      </c>
      <c r="AX34" s="39">
        <v>0</v>
      </c>
    </row>
    <row r="35" spans="1:51" ht="15.75" thickBot="1" x14ac:dyDescent="0.3">
      <c r="A35" t="s">
        <v>272</v>
      </c>
      <c r="B35" t="str">
        <f>RIGHT(A35,1)</f>
        <v>2</v>
      </c>
      <c r="M35" t="s">
        <v>272</v>
      </c>
      <c r="N35" s="38" t="s">
        <v>385</v>
      </c>
      <c r="O35" s="40">
        <v>2</v>
      </c>
      <c r="P35" s="39">
        <v>10</v>
      </c>
      <c r="Q35" s="39">
        <v>13</v>
      </c>
      <c r="R35" s="39">
        <v>21</v>
      </c>
      <c r="S35" s="39">
        <v>27</v>
      </c>
      <c r="T35" s="39">
        <v>74</v>
      </c>
      <c r="U35" s="39">
        <v>74</v>
      </c>
      <c r="V35" s="39">
        <v>80</v>
      </c>
      <c r="W35" s="39">
        <v>91</v>
      </c>
      <c r="Z35" s="38" t="s">
        <v>385</v>
      </c>
      <c r="AA35" s="40">
        <v>2</v>
      </c>
      <c r="AC35" s="39">
        <v>10</v>
      </c>
      <c r="AF35" s="39">
        <v>13</v>
      </c>
      <c r="AI35" s="39">
        <v>21</v>
      </c>
      <c r="AL35" s="39">
        <v>27</v>
      </c>
      <c r="AO35" s="39">
        <v>74</v>
      </c>
      <c r="AR35" s="39">
        <v>74</v>
      </c>
      <c r="AU35" s="39">
        <v>80</v>
      </c>
      <c r="AX35" s="39">
        <v>91</v>
      </c>
    </row>
    <row r="36" spans="1:51" ht="15.75" thickBot="1" x14ac:dyDescent="0.3">
      <c r="A36" t="s">
        <v>313</v>
      </c>
      <c r="B36" t="str">
        <f>RIGHT(A36,1)</f>
        <v>2</v>
      </c>
      <c r="M36" t="s">
        <v>313</v>
      </c>
      <c r="N36" s="38" t="s">
        <v>386</v>
      </c>
      <c r="O36" s="40">
        <v>2</v>
      </c>
      <c r="P36" s="39">
        <v>0</v>
      </c>
      <c r="Q36" s="39">
        <v>33</v>
      </c>
      <c r="R36" s="39">
        <v>0</v>
      </c>
      <c r="S36" s="39">
        <v>28</v>
      </c>
      <c r="T36" s="39">
        <v>0</v>
      </c>
      <c r="U36" s="39">
        <v>86</v>
      </c>
      <c r="V36" s="39">
        <v>0</v>
      </c>
      <c r="W36" s="39">
        <v>93</v>
      </c>
      <c r="Z36" s="38" t="s">
        <v>386</v>
      </c>
      <c r="AA36" s="40">
        <v>2</v>
      </c>
      <c r="AC36" s="39">
        <v>0</v>
      </c>
      <c r="AF36" s="39">
        <v>33</v>
      </c>
      <c r="AI36" s="39">
        <v>0</v>
      </c>
      <c r="AL36" s="39">
        <v>28</v>
      </c>
      <c r="AO36" s="39">
        <v>0</v>
      </c>
      <c r="AR36" s="39">
        <v>86</v>
      </c>
      <c r="AU36" s="39">
        <v>0</v>
      </c>
      <c r="AX36" s="39">
        <v>93</v>
      </c>
    </row>
    <row r="37" spans="1:51" ht="15.75" thickBot="1" x14ac:dyDescent="0.3">
      <c r="A37" t="s">
        <v>274</v>
      </c>
      <c r="B37" t="str">
        <f>RIGHT(A37,1)</f>
        <v>2</v>
      </c>
      <c r="M37" t="s">
        <v>274</v>
      </c>
      <c r="N37" s="38" t="s">
        <v>387</v>
      </c>
      <c r="O37" s="40">
        <v>2</v>
      </c>
      <c r="P37" s="39">
        <v>7</v>
      </c>
      <c r="Q37" s="39">
        <v>6</v>
      </c>
      <c r="R37" s="39">
        <v>21</v>
      </c>
      <c r="S37" s="39">
        <v>26</v>
      </c>
      <c r="T37" s="39">
        <v>70</v>
      </c>
      <c r="U37" s="39">
        <v>85</v>
      </c>
      <c r="V37" s="39">
        <v>67</v>
      </c>
      <c r="W37" s="39">
        <v>114</v>
      </c>
      <c r="Z37" s="38" t="s">
        <v>387</v>
      </c>
      <c r="AA37" s="40">
        <v>2</v>
      </c>
      <c r="AC37" s="39">
        <v>7</v>
      </c>
      <c r="AF37" s="39">
        <v>6</v>
      </c>
      <c r="AI37" s="39">
        <v>21</v>
      </c>
      <c r="AL37" s="39">
        <v>26</v>
      </c>
      <c r="AO37" s="39">
        <v>70</v>
      </c>
      <c r="AR37" s="39">
        <v>85</v>
      </c>
      <c r="AU37" s="39">
        <v>67</v>
      </c>
      <c r="AX37" s="39">
        <v>114</v>
      </c>
    </row>
    <row r="38" spans="1:51" ht="15.75" thickBot="1" x14ac:dyDescent="0.3">
      <c r="A38" t="s">
        <v>275</v>
      </c>
      <c r="B38" t="str">
        <f>RIGHT(A38,1)</f>
        <v>2</v>
      </c>
      <c r="M38" t="s">
        <v>275</v>
      </c>
      <c r="N38" s="38" t="s">
        <v>388</v>
      </c>
      <c r="O38" s="40">
        <v>2</v>
      </c>
      <c r="P38" s="39">
        <v>13</v>
      </c>
      <c r="Q38" s="39">
        <v>0</v>
      </c>
      <c r="R38" s="39">
        <v>19</v>
      </c>
      <c r="S38" s="39">
        <v>0</v>
      </c>
      <c r="T38" s="39">
        <v>74</v>
      </c>
      <c r="U38" s="39">
        <v>0</v>
      </c>
      <c r="V38" s="39">
        <v>81</v>
      </c>
      <c r="W38" s="39">
        <v>0</v>
      </c>
      <c r="Z38" s="38" t="s">
        <v>388</v>
      </c>
      <c r="AA38" s="40">
        <v>2</v>
      </c>
      <c r="AC38" s="39">
        <v>13</v>
      </c>
      <c r="AF38" s="39">
        <v>0</v>
      </c>
      <c r="AI38" s="39">
        <v>19</v>
      </c>
      <c r="AL38" s="39">
        <v>0</v>
      </c>
      <c r="AO38" s="39">
        <v>74</v>
      </c>
      <c r="AR38" s="39">
        <v>0</v>
      </c>
      <c r="AU38" s="39">
        <v>81</v>
      </c>
      <c r="AX38" s="39">
        <v>0</v>
      </c>
    </row>
    <row r="39" spans="1:51" ht="15.75" thickBot="1" x14ac:dyDescent="0.3">
      <c r="A39" t="s">
        <v>276</v>
      </c>
      <c r="B39" t="str">
        <f>RIGHT(A39,1)</f>
        <v>2</v>
      </c>
      <c r="M39" t="s">
        <v>276</v>
      </c>
      <c r="N39" s="38" t="s">
        <v>389</v>
      </c>
      <c r="O39" s="40">
        <v>2</v>
      </c>
      <c r="P39" s="39">
        <v>8</v>
      </c>
      <c r="Q39" s="39">
        <v>8</v>
      </c>
      <c r="R39" s="39">
        <v>19</v>
      </c>
      <c r="S39" s="39">
        <v>23</v>
      </c>
      <c r="T39" s="39">
        <v>67</v>
      </c>
      <c r="U39" s="39">
        <v>88</v>
      </c>
      <c r="V39" s="39">
        <v>69</v>
      </c>
      <c r="W39" s="39">
        <v>92</v>
      </c>
      <c r="Z39" s="38" t="s">
        <v>389</v>
      </c>
      <c r="AA39" s="40">
        <v>2</v>
      </c>
      <c r="AC39" s="39">
        <v>8</v>
      </c>
      <c r="AF39" s="39">
        <v>8</v>
      </c>
      <c r="AI39" s="39">
        <v>19</v>
      </c>
      <c r="AL39" s="39">
        <v>23</v>
      </c>
      <c r="AO39" s="39">
        <v>67</v>
      </c>
      <c r="AR39" s="39">
        <v>88</v>
      </c>
      <c r="AU39" s="39">
        <v>69</v>
      </c>
      <c r="AX39" s="39">
        <v>92</v>
      </c>
    </row>
    <row r="40" spans="1:51" ht="15.75" thickBot="1" x14ac:dyDescent="0.3">
      <c r="A40" t="s">
        <v>277</v>
      </c>
      <c r="B40" t="str">
        <f>RIGHT(A40,1)</f>
        <v>2</v>
      </c>
      <c r="M40" t="s">
        <v>277</v>
      </c>
      <c r="N40" s="38" t="s">
        <v>390</v>
      </c>
      <c r="O40" s="40">
        <v>2</v>
      </c>
      <c r="P40" s="39">
        <v>14</v>
      </c>
      <c r="Q40" s="39">
        <v>0</v>
      </c>
      <c r="R40" s="39">
        <v>22</v>
      </c>
      <c r="S40" s="39">
        <v>0</v>
      </c>
      <c r="T40" s="39">
        <v>75</v>
      </c>
      <c r="U40" s="39">
        <v>0</v>
      </c>
      <c r="V40" s="39">
        <v>76</v>
      </c>
      <c r="W40" s="39">
        <v>0</v>
      </c>
      <c r="Z40" s="38" t="s">
        <v>390</v>
      </c>
      <c r="AA40" s="40">
        <v>2</v>
      </c>
      <c r="AC40" s="39">
        <v>14</v>
      </c>
      <c r="AF40" s="39">
        <v>0</v>
      </c>
      <c r="AI40" s="39">
        <v>22</v>
      </c>
      <c r="AL40" s="39">
        <v>0</v>
      </c>
      <c r="AO40" s="39">
        <v>75</v>
      </c>
      <c r="AR40" s="39">
        <v>0</v>
      </c>
      <c r="AU40" s="39">
        <v>76</v>
      </c>
      <c r="AX40" s="39">
        <v>0</v>
      </c>
    </row>
    <row r="41" spans="1:51" ht="15.75" thickBot="1" x14ac:dyDescent="0.3">
      <c r="A41" t="s">
        <v>278</v>
      </c>
      <c r="B41" t="str">
        <f>RIGHT(A41,1)</f>
        <v>2</v>
      </c>
      <c r="M41" t="s">
        <v>278</v>
      </c>
      <c r="N41" s="38" t="s">
        <v>391</v>
      </c>
      <c r="O41" s="40">
        <v>2</v>
      </c>
      <c r="P41" s="39">
        <v>7</v>
      </c>
      <c r="Q41" s="39">
        <v>14</v>
      </c>
      <c r="R41" s="39">
        <v>21</v>
      </c>
      <c r="S41" s="39">
        <v>23</v>
      </c>
      <c r="T41" s="39">
        <v>75</v>
      </c>
      <c r="U41" s="39">
        <v>78</v>
      </c>
      <c r="V41" s="39">
        <v>73</v>
      </c>
      <c r="W41" s="39">
        <v>92</v>
      </c>
      <c r="Z41" s="38" t="s">
        <v>391</v>
      </c>
      <c r="AA41" s="40">
        <v>2</v>
      </c>
      <c r="AC41" s="39">
        <v>7</v>
      </c>
      <c r="AF41" s="39">
        <v>14</v>
      </c>
      <c r="AI41" s="39">
        <v>21</v>
      </c>
      <c r="AL41" s="39">
        <v>23</v>
      </c>
      <c r="AO41" s="39">
        <v>75</v>
      </c>
      <c r="AR41" s="39">
        <v>78</v>
      </c>
      <c r="AU41" s="39">
        <v>73</v>
      </c>
      <c r="AX41" s="39">
        <v>92</v>
      </c>
    </row>
    <row r="42" spans="1:51" ht="15.75" thickBot="1" x14ac:dyDescent="0.3">
      <c r="A42" t="s">
        <v>299</v>
      </c>
      <c r="B42" t="str">
        <f>RIGHT(A42,1)</f>
        <v>3</v>
      </c>
      <c r="M42" t="s">
        <v>299</v>
      </c>
      <c r="N42" s="38" t="s">
        <v>363</v>
      </c>
      <c r="O42" s="40">
        <v>3</v>
      </c>
      <c r="P42" s="39">
        <v>0</v>
      </c>
      <c r="Q42" s="39">
        <v>21</v>
      </c>
      <c r="R42" s="39">
        <v>0</v>
      </c>
      <c r="S42" s="39">
        <v>30</v>
      </c>
      <c r="T42" s="39">
        <v>0</v>
      </c>
      <c r="U42" s="39">
        <v>78</v>
      </c>
      <c r="V42" s="39">
        <v>0</v>
      </c>
      <c r="W42" s="39">
        <v>94</v>
      </c>
      <c r="X42" s="39"/>
      <c r="Y42" s="39"/>
      <c r="Z42" s="38" t="s">
        <v>363</v>
      </c>
      <c r="AA42" s="40">
        <v>3</v>
      </c>
      <c r="AD42" s="39">
        <v>0</v>
      </c>
      <c r="AG42" s="39">
        <v>21</v>
      </c>
      <c r="AJ42" s="39">
        <v>0</v>
      </c>
      <c r="AM42" s="39">
        <v>30</v>
      </c>
      <c r="AP42" s="39">
        <v>0</v>
      </c>
      <c r="AS42" s="39">
        <v>78</v>
      </c>
      <c r="AV42" s="39">
        <v>0</v>
      </c>
      <c r="AY42" s="39">
        <v>94</v>
      </c>
    </row>
    <row r="43" spans="1:51" ht="15.75" thickBot="1" x14ac:dyDescent="0.3">
      <c r="A43" t="s">
        <v>280</v>
      </c>
      <c r="B43" t="str">
        <f>RIGHT(A43,1)</f>
        <v>3</v>
      </c>
      <c r="M43" t="s">
        <v>280</v>
      </c>
      <c r="N43" s="38" t="s">
        <v>367</v>
      </c>
      <c r="O43" s="40">
        <v>3</v>
      </c>
      <c r="P43" s="39">
        <v>6</v>
      </c>
      <c r="Q43" s="39">
        <v>10</v>
      </c>
      <c r="R43" s="39">
        <v>19</v>
      </c>
      <c r="S43" s="39">
        <v>26</v>
      </c>
      <c r="T43" s="39">
        <v>60</v>
      </c>
      <c r="U43" s="39">
        <v>75</v>
      </c>
      <c r="V43" s="39">
        <v>67</v>
      </c>
      <c r="W43" s="39">
        <v>83</v>
      </c>
      <c r="X43" s="39"/>
      <c r="Y43" s="39"/>
      <c r="Z43" s="38" t="s">
        <v>367</v>
      </c>
      <c r="AA43" s="40">
        <v>3</v>
      </c>
      <c r="AD43" s="39">
        <v>6</v>
      </c>
      <c r="AG43" s="39">
        <v>10</v>
      </c>
      <c r="AJ43" s="39">
        <v>19</v>
      </c>
      <c r="AM43" s="39">
        <v>26</v>
      </c>
      <c r="AP43" s="39">
        <v>60</v>
      </c>
      <c r="AS43" s="39">
        <v>75</v>
      </c>
      <c r="AV43" s="39">
        <v>67</v>
      </c>
      <c r="AY43" s="39">
        <v>83</v>
      </c>
    </row>
    <row r="44" spans="1:51" ht="15.75" thickBot="1" x14ac:dyDescent="0.3">
      <c r="A44" t="s">
        <v>301</v>
      </c>
      <c r="B44" t="str">
        <f>RIGHT(A44,1)</f>
        <v>3</v>
      </c>
      <c r="M44" t="s">
        <v>301</v>
      </c>
      <c r="N44" s="38" t="s">
        <v>370</v>
      </c>
      <c r="O44" s="40">
        <v>3</v>
      </c>
      <c r="P44" s="39">
        <v>10</v>
      </c>
      <c r="Q44" s="39">
        <v>0</v>
      </c>
      <c r="R44" s="39">
        <v>20</v>
      </c>
      <c r="S44" s="39">
        <v>0</v>
      </c>
      <c r="T44" s="39">
        <v>63</v>
      </c>
      <c r="U44" s="39">
        <v>0</v>
      </c>
      <c r="V44" s="39">
        <v>65</v>
      </c>
      <c r="W44" s="39">
        <v>0</v>
      </c>
      <c r="X44" s="39"/>
      <c r="Y44" s="39"/>
      <c r="Z44" s="38" t="s">
        <v>370</v>
      </c>
      <c r="AA44" s="40">
        <v>3</v>
      </c>
      <c r="AD44" s="39">
        <v>10</v>
      </c>
      <c r="AG44" s="39">
        <v>0</v>
      </c>
      <c r="AJ44" s="39">
        <v>20</v>
      </c>
      <c r="AM44" s="39">
        <v>0</v>
      </c>
      <c r="AP44" s="39">
        <v>63</v>
      </c>
      <c r="AS44" s="39">
        <v>0</v>
      </c>
      <c r="AV44" s="39">
        <v>65</v>
      </c>
      <c r="AY44" s="39">
        <v>0</v>
      </c>
    </row>
    <row r="45" spans="1:51" ht="15.75" thickBot="1" x14ac:dyDescent="0.3">
      <c r="A45" t="s">
        <v>262</v>
      </c>
      <c r="B45" t="str">
        <f>RIGHT(A45,1)</f>
        <v>3</v>
      </c>
      <c r="M45" t="s">
        <v>262</v>
      </c>
      <c r="N45" s="38" t="s">
        <v>372</v>
      </c>
      <c r="O45" s="40">
        <v>3</v>
      </c>
      <c r="P45" s="39">
        <v>3</v>
      </c>
      <c r="Q45" s="39">
        <v>10</v>
      </c>
      <c r="R45" s="39">
        <v>16</v>
      </c>
      <c r="S45" s="39">
        <v>23</v>
      </c>
      <c r="T45" s="39">
        <v>48</v>
      </c>
      <c r="U45" s="39">
        <v>78</v>
      </c>
      <c r="V45" s="39">
        <v>48</v>
      </c>
      <c r="W45" s="39">
        <v>90</v>
      </c>
      <c r="X45" s="39"/>
      <c r="Y45" s="39"/>
      <c r="Z45" s="38" t="s">
        <v>372</v>
      </c>
      <c r="AA45" s="40">
        <v>3</v>
      </c>
      <c r="AD45" s="39">
        <v>3</v>
      </c>
      <c r="AG45" s="39">
        <v>10</v>
      </c>
      <c r="AJ45" s="39">
        <v>16</v>
      </c>
      <c r="AM45" s="39">
        <v>23</v>
      </c>
      <c r="AP45" s="39">
        <v>48</v>
      </c>
      <c r="AS45" s="39">
        <v>78</v>
      </c>
      <c r="AV45" s="39">
        <v>48</v>
      </c>
      <c r="AY45" s="39">
        <v>90</v>
      </c>
    </row>
    <row r="46" spans="1:51" ht="15.75" thickBot="1" x14ac:dyDescent="0.3">
      <c r="A46" t="s">
        <v>283</v>
      </c>
      <c r="B46" t="str">
        <f>RIGHT(A46,1)</f>
        <v>3</v>
      </c>
      <c r="M46" t="s">
        <v>283</v>
      </c>
      <c r="N46" s="38" t="s">
        <v>374</v>
      </c>
      <c r="O46" s="40">
        <v>3</v>
      </c>
      <c r="P46" s="39">
        <v>0</v>
      </c>
      <c r="Q46" s="39">
        <v>22</v>
      </c>
      <c r="R46" s="39">
        <v>0</v>
      </c>
      <c r="S46" s="39">
        <v>25</v>
      </c>
      <c r="T46" s="39">
        <v>0</v>
      </c>
      <c r="U46" s="39">
        <v>77</v>
      </c>
      <c r="V46" s="39">
        <v>0</v>
      </c>
      <c r="W46" s="39">
        <v>80</v>
      </c>
      <c r="X46" s="39"/>
      <c r="Y46" s="39"/>
      <c r="Z46" s="38" t="s">
        <v>374</v>
      </c>
      <c r="AA46" s="40">
        <v>3</v>
      </c>
      <c r="AD46" s="39">
        <v>0</v>
      </c>
      <c r="AG46" s="39">
        <v>22</v>
      </c>
      <c r="AJ46" s="39">
        <v>0</v>
      </c>
      <c r="AM46" s="39">
        <v>25</v>
      </c>
      <c r="AP46" s="39">
        <v>0</v>
      </c>
      <c r="AS46" s="39">
        <v>77</v>
      </c>
      <c r="AV46" s="39">
        <v>0</v>
      </c>
      <c r="AY46" s="39">
        <v>80</v>
      </c>
    </row>
    <row r="47" spans="1:51" ht="15.75" thickBot="1" x14ac:dyDescent="0.3">
      <c r="A47" t="s">
        <v>284</v>
      </c>
      <c r="B47" t="str">
        <f>RIGHT(A47,1)</f>
        <v>3</v>
      </c>
      <c r="M47" t="s">
        <v>284</v>
      </c>
      <c r="N47" s="38" t="s">
        <v>375</v>
      </c>
      <c r="O47" s="40">
        <v>3</v>
      </c>
      <c r="P47" s="39">
        <v>7</v>
      </c>
      <c r="Q47" s="39">
        <v>16</v>
      </c>
      <c r="R47" s="39">
        <v>20</v>
      </c>
      <c r="S47" s="39">
        <v>34</v>
      </c>
      <c r="T47" s="39">
        <v>64</v>
      </c>
      <c r="U47" s="39">
        <v>83</v>
      </c>
      <c r="V47" s="39">
        <v>64</v>
      </c>
      <c r="W47" s="39">
        <v>101</v>
      </c>
      <c r="X47" s="39"/>
      <c r="Y47" s="39"/>
      <c r="Z47" s="38" t="s">
        <v>375</v>
      </c>
      <c r="AA47" s="40">
        <v>3</v>
      </c>
      <c r="AD47" s="39">
        <v>7</v>
      </c>
      <c r="AG47" s="39">
        <v>16</v>
      </c>
      <c r="AJ47" s="39">
        <v>20</v>
      </c>
      <c r="AM47" s="39">
        <v>34</v>
      </c>
      <c r="AP47" s="39">
        <v>64</v>
      </c>
      <c r="AS47" s="39">
        <v>83</v>
      </c>
      <c r="AV47" s="39">
        <v>64</v>
      </c>
      <c r="AY47" s="39">
        <v>101</v>
      </c>
    </row>
    <row r="48" spans="1:51" ht="15.75" thickBot="1" x14ac:dyDescent="0.3">
      <c r="A48" t="s">
        <v>265</v>
      </c>
      <c r="B48" t="str">
        <f>RIGHT(A48,1)</f>
        <v>3</v>
      </c>
      <c r="M48" t="s">
        <v>265</v>
      </c>
      <c r="N48" s="38" t="s">
        <v>376</v>
      </c>
      <c r="O48" s="40">
        <v>3</v>
      </c>
      <c r="P48" s="39">
        <v>11</v>
      </c>
      <c r="Q48" s="39">
        <v>0</v>
      </c>
      <c r="R48" s="39">
        <v>17</v>
      </c>
      <c r="S48" s="39">
        <v>0</v>
      </c>
      <c r="T48" s="39">
        <v>66</v>
      </c>
      <c r="U48" s="39">
        <v>0</v>
      </c>
      <c r="V48" s="39">
        <v>68</v>
      </c>
      <c r="W48" s="39">
        <v>0</v>
      </c>
      <c r="X48" s="39"/>
      <c r="Y48" s="39"/>
      <c r="Z48" s="38" t="s">
        <v>376</v>
      </c>
      <c r="AA48" s="40">
        <v>3</v>
      </c>
      <c r="AD48" s="39">
        <v>11</v>
      </c>
      <c r="AG48" s="39">
        <v>0</v>
      </c>
      <c r="AJ48" s="39">
        <v>17</v>
      </c>
      <c r="AM48" s="39">
        <v>0</v>
      </c>
      <c r="AP48" s="39">
        <v>66</v>
      </c>
      <c r="AS48" s="39">
        <v>0</v>
      </c>
      <c r="AV48" s="39">
        <v>68</v>
      </c>
      <c r="AY48" s="39">
        <v>0</v>
      </c>
    </row>
    <row r="49" spans="1:51" ht="15.75" thickBot="1" x14ac:dyDescent="0.3">
      <c r="A49" t="s">
        <v>306</v>
      </c>
      <c r="B49" t="str">
        <f>RIGHT(A49,1)</f>
        <v>3</v>
      </c>
      <c r="M49" t="s">
        <v>306</v>
      </c>
      <c r="N49" s="38" t="s">
        <v>377</v>
      </c>
      <c r="O49" s="40">
        <v>3</v>
      </c>
      <c r="P49" s="39">
        <v>5</v>
      </c>
      <c r="Q49" s="39">
        <v>10</v>
      </c>
      <c r="R49" s="39">
        <v>21</v>
      </c>
      <c r="S49" s="39">
        <v>32</v>
      </c>
      <c r="T49" s="39">
        <v>70</v>
      </c>
      <c r="U49" s="39">
        <v>96</v>
      </c>
      <c r="V49" s="39">
        <v>65</v>
      </c>
      <c r="W49" s="39">
        <v>110</v>
      </c>
      <c r="X49" s="39"/>
      <c r="Y49" s="39"/>
      <c r="Z49" s="38" t="s">
        <v>377</v>
      </c>
      <c r="AA49" s="40">
        <v>3</v>
      </c>
      <c r="AD49" s="39">
        <v>5</v>
      </c>
      <c r="AG49" s="39">
        <v>10</v>
      </c>
      <c r="AJ49" s="39">
        <v>21</v>
      </c>
      <c r="AM49" s="39">
        <v>32</v>
      </c>
      <c r="AP49" s="39">
        <v>70</v>
      </c>
      <c r="AS49" s="39">
        <v>96</v>
      </c>
      <c r="AV49" s="39">
        <v>65</v>
      </c>
      <c r="AY49" s="39">
        <v>110</v>
      </c>
    </row>
    <row r="50" spans="1:51" ht="15.75" thickBot="1" x14ac:dyDescent="0.3">
      <c r="A50" t="s">
        <v>307</v>
      </c>
      <c r="B50" t="str">
        <f>RIGHT(A50,1)</f>
        <v>3</v>
      </c>
      <c r="M50" t="s">
        <v>307</v>
      </c>
      <c r="N50" s="38" t="s">
        <v>379</v>
      </c>
      <c r="O50" s="40">
        <v>3</v>
      </c>
      <c r="P50" s="39">
        <v>0</v>
      </c>
      <c r="Q50" s="39">
        <v>30</v>
      </c>
      <c r="R50" s="39">
        <v>0</v>
      </c>
      <c r="S50" s="39">
        <v>21</v>
      </c>
      <c r="T50" s="39">
        <v>0</v>
      </c>
      <c r="U50" s="39">
        <v>83</v>
      </c>
      <c r="V50" s="39">
        <v>0</v>
      </c>
      <c r="W50" s="39">
        <v>92</v>
      </c>
      <c r="X50" s="39"/>
      <c r="Y50" s="39"/>
      <c r="Z50" s="38" t="s">
        <v>379</v>
      </c>
      <c r="AA50" s="40">
        <v>3</v>
      </c>
      <c r="AD50" s="39">
        <v>0</v>
      </c>
      <c r="AG50" s="39">
        <v>30</v>
      </c>
      <c r="AJ50" s="39">
        <v>0</v>
      </c>
      <c r="AM50" s="39">
        <v>21</v>
      </c>
      <c r="AP50" s="39">
        <v>0</v>
      </c>
      <c r="AS50" s="39">
        <v>83</v>
      </c>
      <c r="AV50" s="39">
        <v>0</v>
      </c>
      <c r="AY50" s="39">
        <v>92</v>
      </c>
    </row>
    <row r="51" spans="1:51" ht="15.75" thickBot="1" x14ac:dyDescent="0.3">
      <c r="A51" t="s">
        <v>268</v>
      </c>
      <c r="B51" t="str">
        <f>RIGHT(A51,1)</f>
        <v>3</v>
      </c>
      <c r="M51" t="s">
        <v>268</v>
      </c>
      <c r="N51" s="38" t="s">
        <v>380</v>
      </c>
      <c r="O51" s="40">
        <v>3</v>
      </c>
      <c r="P51" s="39">
        <v>5</v>
      </c>
      <c r="Q51" s="39">
        <v>15</v>
      </c>
      <c r="R51" s="39">
        <v>19</v>
      </c>
      <c r="S51" s="39">
        <v>27</v>
      </c>
      <c r="T51" s="39">
        <v>63</v>
      </c>
      <c r="U51" s="39">
        <v>83</v>
      </c>
      <c r="V51" s="39">
        <v>70</v>
      </c>
      <c r="W51" s="39">
        <v>91</v>
      </c>
      <c r="X51" s="39"/>
      <c r="Y51" s="39"/>
      <c r="Z51" s="38" t="s">
        <v>380</v>
      </c>
      <c r="AA51" s="40">
        <v>3</v>
      </c>
      <c r="AD51" s="39">
        <v>5</v>
      </c>
      <c r="AG51" s="39">
        <v>15</v>
      </c>
      <c r="AJ51" s="39">
        <v>19</v>
      </c>
      <c r="AM51" s="39">
        <v>27</v>
      </c>
      <c r="AP51" s="39">
        <v>63</v>
      </c>
      <c r="AS51" s="39">
        <v>83</v>
      </c>
      <c r="AV51" s="39">
        <v>70</v>
      </c>
      <c r="AY51" s="39">
        <v>91</v>
      </c>
    </row>
    <row r="52" spans="1:51" ht="15.75" thickBot="1" x14ac:dyDescent="0.3">
      <c r="A52" t="s">
        <v>309</v>
      </c>
      <c r="B52" t="str">
        <f>RIGHT(A52,1)</f>
        <v>3</v>
      </c>
      <c r="M52" t="s">
        <v>309</v>
      </c>
      <c r="N52" s="38" t="s">
        <v>382</v>
      </c>
      <c r="O52" s="40">
        <v>3</v>
      </c>
      <c r="P52" s="39">
        <v>0</v>
      </c>
      <c r="Q52" s="39">
        <v>29</v>
      </c>
      <c r="R52" s="39">
        <v>0</v>
      </c>
      <c r="S52" s="39">
        <v>35</v>
      </c>
      <c r="T52" s="39">
        <v>0</v>
      </c>
      <c r="U52" s="39">
        <v>103</v>
      </c>
      <c r="V52" s="39">
        <v>0</v>
      </c>
      <c r="W52" s="39">
        <v>115</v>
      </c>
      <c r="X52" s="39"/>
      <c r="Y52" s="39"/>
      <c r="Z52" s="38" t="s">
        <v>382</v>
      </c>
      <c r="AA52" s="40">
        <v>3</v>
      </c>
      <c r="AD52" s="39">
        <v>0</v>
      </c>
      <c r="AG52" s="39">
        <v>29</v>
      </c>
      <c r="AJ52" s="39">
        <v>0</v>
      </c>
      <c r="AM52" s="39">
        <v>35</v>
      </c>
      <c r="AP52" s="39">
        <v>0</v>
      </c>
      <c r="AS52" s="39">
        <v>103</v>
      </c>
      <c r="AV52" s="39">
        <v>0</v>
      </c>
      <c r="AY52" s="39">
        <v>115</v>
      </c>
    </row>
    <row r="53" spans="1:51" ht="15.75" thickBot="1" x14ac:dyDescent="0.3">
      <c r="A53" t="s">
        <v>310</v>
      </c>
      <c r="B53" t="str">
        <f>RIGHT(A53,1)</f>
        <v>3</v>
      </c>
      <c r="M53" t="s">
        <v>310</v>
      </c>
      <c r="N53" s="38" t="s">
        <v>383</v>
      </c>
      <c r="O53" s="40">
        <v>3</v>
      </c>
      <c r="P53" s="39">
        <v>6</v>
      </c>
      <c r="Q53" s="39">
        <v>5</v>
      </c>
      <c r="R53" s="39">
        <v>20</v>
      </c>
      <c r="S53" s="39">
        <v>29</v>
      </c>
      <c r="T53" s="39">
        <v>73</v>
      </c>
      <c r="U53" s="39">
        <v>86</v>
      </c>
      <c r="V53" s="39">
        <v>73</v>
      </c>
      <c r="W53" s="39">
        <v>111</v>
      </c>
      <c r="X53" s="39"/>
      <c r="Y53" s="39"/>
      <c r="Z53" s="38" t="s">
        <v>383</v>
      </c>
      <c r="AA53" s="40">
        <v>3</v>
      </c>
      <c r="AD53" s="39">
        <v>6</v>
      </c>
      <c r="AG53" s="39">
        <v>5</v>
      </c>
      <c r="AJ53" s="39">
        <v>20</v>
      </c>
      <c r="AM53" s="39">
        <v>29</v>
      </c>
      <c r="AP53" s="39">
        <v>73</v>
      </c>
      <c r="AS53" s="39">
        <v>86</v>
      </c>
      <c r="AV53" s="39">
        <v>73</v>
      </c>
      <c r="AY53" s="39">
        <v>111</v>
      </c>
    </row>
    <row r="54" spans="1:51" ht="15.75" thickBot="1" x14ac:dyDescent="0.3">
      <c r="A54" t="s">
        <v>311</v>
      </c>
      <c r="B54" t="str">
        <f>RIGHT(A54,1)</f>
        <v>3</v>
      </c>
      <c r="M54" t="s">
        <v>311</v>
      </c>
      <c r="N54" s="38" t="s">
        <v>384</v>
      </c>
      <c r="O54" s="40">
        <v>3</v>
      </c>
      <c r="P54" s="39">
        <v>13</v>
      </c>
      <c r="Q54" s="39">
        <v>0</v>
      </c>
      <c r="R54" s="39">
        <v>21</v>
      </c>
      <c r="S54" s="39">
        <v>0</v>
      </c>
      <c r="T54" s="39">
        <v>75</v>
      </c>
      <c r="U54" s="39">
        <v>0</v>
      </c>
      <c r="V54" s="39">
        <v>97</v>
      </c>
      <c r="W54" s="39">
        <v>0</v>
      </c>
      <c r="X54" s="39"/>
      <c r="Y54" s="39"/>
      <c r="Z54" s="38" t="s">
        <v>384</v>
      </c>
      <c r="AA54" s="40">
        <v>3</v>
      </c>
      <c r="AD54" s="39">
        <v>13</v>
      </c>
      <c r="AG54" s="39">
        <v>0</v>
      </c>
      <c r="AJ54" s="39">
        <v>21</v>
      </c>
      <c r="AM54" s="39">
        <v>0</v>
      </c>
      <c r="AP54" s="39">
        <v>75</v>
      </c>
      <c r="AS54" s="39">
        <v>0</v>
      </c>
      <c r="AV54" s="39">
        <v>97</v>
      </c>
      <c r="AY54" s="39">
        <v>0</v>
      </c>
    </row>
    <row r="55" spans="1:51" ht="15.75" thickBot="1" x14ac:dyDescent="0.3">
      <c r="A55" t="s">
        <v>312</v>
      </c>
      <c r="B55" t="str">
        <f>RIGHT(A55,1)</f>
        <v>3</v>
      </c>
      <c r="M55" t="s">
        <v>312</v>
      </c>
      <c r="N55" s="38" t="s">
        <v>385</v>
      </c>
      <c r="O55" s="40">
        <v>3</v>
      </c>
      <c r="P55" s="39">
        <v>8</v>
      </c>
      <c r="Q55" s="39">
        <v>8</v>
      </c>
      <c r="R55" s="39">
        <v>20</v>
      </c>
      <c r="S55" s="39">
        <v>27</v>
      </c>
      <c r="T55" s="39">
        <v>72</v>
      </c>
      <c r="U55" s="39">
        <v>78</v>
      </c>
      <c r="V55" s="39">
        <v>78</v>
      </c>
      <c r="W55" s="39">
        <v>88</v>
      </c>
      <c r="X55" s="39"/>
      <c r="Y55" s="39"/>
      <c r="Z55" s="38" t="s">
        <v>385</v>
      </c>
      <c r="AA55" s="40">
        <v>3</v>
      </c>
      <c r="AD55" s="39">
        <v>8</v>
      </c>
      <c r="AG55" s="39">
        <v>8</v>
      </c>
      <c r="AJ55" s="39">
        <v>20</v>
      </c>
      <c r="AM55" s="39">
        <v>27</v>
      </c>
      <c r="AP55" s="39">
        <v>72</v>
      </c>
      <c r="AS55" s="39">
        <v>78</v>
      </c>
      <c r="AV55" s="39">
        <v>78</v>
      </c>
      <c r="AY55" s="39">
        <v>88</v>
      </c>
    </row>
    <row r="56" spans="1:51" ht="15.75" thickBot="1" x14ac:dyDescent="0.3">
      <c r="A56" t="s">
        <v>293</v>
      </c>
      <c r="B56" t="str">
        <f>RIGHT(A56,1)</f>
        <v>3</v>
      </c>
      <c r="M56" t="s">
        <v>293</v>
      </c>
      <c r="N56" s="38" t="s">
        <v>386</v>
      </c>
      <c r="O56" s="40">
        <v>3</v>
      </c>
      <c r="P56" s="39">
        <v>0</v>
      </c>
      <c r="Q56" s="39">
        <v>32</v>
      </c>
      <c r="R56" s="39">
        <v>0</v>
      </c>
      <c r="S56" s="39">
        <v>30</v>
      </c>
      <c r="T56" s="39">
        <v>0</v>
      </c>
      <c r="U56" s="39">
        <v>89</v>
      </c>
      <c r="V56" s="39">
        <v>0</v>
      </c>
      <c r="W56" s="39">
        <v>96</v>
      </c>
      <c r="X56" s="39"/>
      <c r="Y56" s="39"/>
      <c r="Z56" s="38" t="s">
        <v>386</v>
      </c>
      <c r="AA56" s="40">
        <v>3</v>
      </c>
      <c r="AD56" s="39">
        <v>0</v>
      </c>
      <c r="AG56" s="39">
        <v>32</v>
      </c>
      <c r="AJ56" s="39">
        <v>0</v>
      </c>
      <c r="AM56" s="39">
        <v>30</v>
      </c>
      <c r="AP56" s="39">
        <v>0</v>
      </c>
      <c r="AS56" s="39">
        <v>89</v>
      </c>
      <c r="AV56" s="39">
        <v>0</v>
      </c>
      <c r="AY56" s="39">
        <v>96</v>
      </c>
    </row>
    <row r="57" spans="1:51" ht="15.75" thickBot="1" x14ac:dyDescent="0.3">
      <c r="A57" t="s">
        <v>314</v>
      </c>
      <c r="B57" t="str">
        <f>RIGHT(A57,1)</f>
        <v>3</v>
      </c>
      <c r="M57" t="s">
        <v>314</v>
      </c>
      <c r="N57" s="38" t="s">
        <v>387</v>
      </c>
      <c r="O57" s="40">
        <v>3</v>
      </c>
      <c r="P57" s="39">
        <v>4</v>
      </c>
      <c r="Q57" s="39">
        <v>23</v>
      </c>
      <c r="R57" s="39">
        <v>23</v>
      </c>
      <c r="S57" s="39">
        <v>31</v>
      </c>
      <c r="T57" s="39">
        <v>69</v>
      </c>
      <c r="U57" s="39">
        <v>93</v>
      </c>
      <c r="V57" s="39">
        <v>71</v>
      </c>
      <c r="W57" s="39">
        <v>111</v>
      </c>
      <c r="X57" s="39"/>
      <c r="Y57" s="39"/>
      <c r="Z57" s="38" t="s">
        <v>387</v>
      </c>
      <c r="AA57" s="40">
        <v>3</v>
      </c>
      <c r="AD57" s="39">
        <v>4</v>
      </c>
      <c r="AG57" s="39">
        <v>23</v>
      </c>
      <c r="AJ57" s="39">
        <v>23</v>
      </c>
      <c r="AM57" s="39">
        <v>31</v>
      </c>
      <c r="AP57" s="39">
        <v>69</v>
      </c>
      <c r="AS57" s="39">
        <v>93</v>
      </c>
      <c r="AV57" s="39">
        <v>71</v>
      </c>
      <c r="AY57" s="39">
        <v>111</v>
      </c>
    </row>
    <row r="58" spans="1:51" ht="15.75" thickBot="1" x14ac:dyDescent="0.3">
      <c r="A58" t="s">
        <v>295</v>
      </c>
      <c r="B58" t="str">
        <f>RIGHT(A58,1)</f>
        <v>3</v>
      </c>
      <c r="M58" t="s">
        <v>295</v>
      </c>
      <c r="N58" s="38" t="s">
        <v>388</v>
      </c>
      <c r="O58" s="40">
        <v>3</v>
      </c>
      <c r="P58" s="39">
        <v>8</v>
      </c>
      <c r="Q58" s="39">
        <v>0</v>
      </c>
      <c r="R58" s="39">
        <v>21</v>
      </c>
      <c r="S58" s="39">
        <v>0</v>
      </c>
      <c r="T58" s="39">
        <v>76</v>
      </c>
      <c r="U58" s="39">
        <v>0</v>
      </c>
      <c r="V58" s="39">
        <v>79</v>
      </c>
      <c r="W58" s="39">
        <v>0</v>
      </c>
      <c r="X58" s="39"/>
      <c r="Y58" s="39"/>
      <c r="Z58" s="38" t="s">
        <v>388</v>
      </c>
      <c r="AA58" s="40">
        <v>3</v>
      </c>
      <c r="AD58" s="39">
        <v>8</v>
      </c>
      <c r="AG58" s="39">
        <v>0</v>
      </c>
      <c r="AJ58" s="39">
        <v>21</v>
      </c>
      <c r="AM58" s="39">
        <v>0</v>
      </c>
      <c r="AP58" s="39">
        <v>76</v>
      </c>
      <c r="AS58" s="39">
        <v>0</v>
      </c>
      <c r="AV58" s="39">
        <v>79</v>
      </c>
      <c r="AY58" s="39">
        <v>0</v>
      </c>
    </row>
    <row r="59" spans="1:51" ht="15.75" thickBot="1" x14ac:dyDescent="0.3">
      <c r="A59" t="s">
        <v>296</v>
      </c>
      <c r="B59" t="str">
        <f>RIGHT(A59,1)</f>
        <v>3</v>
      </c>
      <c r="M59" t="s">
        <v>296</v>
      </c>
      <c r="N59" s="38" t="s">
        <v>389</v>
      </c>
      <c r="O59" s="40">
        <v>3</v>
      </c>
      <c r="P59" s="39">
        <v>6</v>
      </c>
      <c r="Q59" s="39">
        <v>16</v>
      </c>
      <c r="R59" s="39">
        <v>21</v>
      </c>
      <c r="S59" s="39">
        <v>24</v>
      </c>
      <c r="T59" s="39">
        <v>70</v>
      </c>
      <c r="U59" s="39">
        <v>92</v>
      </c>
      <c r="V59" s="39">
        <v>75</v>
      </c>
      <c r="W59" s="39">
        <v>91</v>
      </c>
      <c r="X59" s="39"/>
      <c r="Y59" s="39"/>
      <c r="Z59" s="38" t="s">
        <v>389</v>
      </c>
      <c r="AA59" s="40">
        <v>3</v>
      </c>
      <c r="AD59" s="39">
        <v>6</v>
      </c>
      <c r="AG59" s="39">
        <v>16</v>
      </c>
      <c r="AJ59" s="39">
        <v>21</v>
      </c>
      <c r="AM59" s="39">
        <v>24</v>
      </c>
      <c r="AP59" s="39">
        <v>70</v>
      </c>
      <c r="AS59" s="39">
        <v>92</v>
      </c>
      <c r="AV59" s="39">
        <v>75</v>
      </c>
      <c r="AY59" s="39">
        <v>91</v>
      </c>
    </row>
    <row r="60" spans="1:51" ht="15.75" thickBot="1" x14ac:dyDescent="0.3">
      <c r="A60" t="s">
        <v>317</v>
      </c>
      <c r="B60" t="str">
        <f>RIGHT(A60,1)</f>
        <v>3</v>
      </c>
      <c r="M60" t="s">
        <v>317</v>
      </c>
      <c r="N60" s="38" t="s">
        <v>390</v>
      </c>
      <c r="O60" s="40">
        <v>3</v>
      </c>
      <c r="P60" s="39">
        <v>8</v>
      </c>
      <c r="Q60" s="39">
        <v>0</v>
      </c>
      <c r="R60" s="39">
        <v>21</v>
      </c>
      <c r="S60" s="39">
        <v>0</v>
      </c>
      <c r="T60" s="39">
        <v>82</v>
      </c>
      <c r="U60" s="39">
        <v>0</v>
      </c>
      <c r="V60" s="39">
        <v>85</v>
      </c>
      <c r="W60" s="39">
        <v>0</v>
      </c>
      <c r="X60" s="39"/>
      <c r="Y60" s="39"/>
      <c r="Z60" s="38" t="s">
        <v>390</v>
      </c>
      <c r="AA60" s="40">
        <v>3</v>
      </c>
      <c r="AD60" s="39">
        <v>8</v>
      </c>
      <c r="AG60" s="39">
        <v>0</v>
      </c>
      <c r="AJ60" s="39">
        <v>21</v>
      </c>
      <c r="AM60" s="39">
        <v>0</v>
      </c>
      <c r="AP60" s="39">
        <v>82</v>
      </c>
      <c r="AS60" s="39">
        <v>0</v>
      </c>
      <c r="AV60" s="39">
        <v>85</v>
      </c>
      <c r="AY60" s="39">
        <v>0</v>
      </c>
    </row>
    <row r="61" spans="1:51" ht="15.75" thickBot="1" x14ac:dyDescent="0.3">
      <c r="A61" t="s">
        <v>318</v>
      </c>
      <c r="B61" t="str">
        <f>RIGHT(A61,1)</f>
        <v>3</v>
      </c>
      <c r="M61" t="s">
        <v>318</v>
      </c>
      <c r="N61" s="38" t="s">
        <v>391</v>
      </c>
      <c r="O61" s="40">
        <v>3</v>
      </c>
      <c r="P61" s="39">
        <v>7</v>
      </c>
      <c r="Q61" s="39">
        <v>8</v>
      </c>
      <c r="R61" s="39">
        <v>21</v>
      </c>
      <c r="S61" s="39">
        <v>25</v>
      </c>
      <c r="T61" s="39">
        <v>79</v>
      </c>
      <c r="U61" s="39">
        <v>83</v>
      </c>
      <c r="V61" s="39">
        <v>81</v>
      </c>
      <c r="W61" s="39">
        <v>101</v>
      </c>
      <c r="X61" s="39"/>
      <c r="Y61" s="39"/>
      <c r="Z61" s="38" t="s">
        <v>391</v>
      </c>
      <c r="AA61" s="40">
        <v>3</v>
      </c>
      <c r="AD61" s="39">
        <v>7</v>
      </c>
      <c r="AG61" s="39">
        <v>8</v>
      </c>
      <c r="AJ61" s="39">
        <v>21</v>
      </c>
      <c r="AM61" s="39">
        <v>25</v>
      </c>
      <c r="AP61" s="39">
        <v>79</v>
      </c>
      <c r="AS61" s="39">
        <v>83</v>
      </c>
      <c r="AV61" s="39">
        <v>81</v>
      </c>
      <c r="AY61" s="39">
        <v>101</v>
      </c>
    </row>
  </sheetData>
  <sortState xmlns:xlrd2="http://schemas.microsoft.com/office/spreadsheetml/2017/richdata2" ref="A2:J61">
    <sortCondition ref="B2:B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ND_T3_upload</vt:lpstr>
      <vt:lpstr>IA_T3_upload</vt:lpstr>
      <vt:lpstr>IL_T3_upload</vt:lpstr>
      <vt:lpstr>IA_raw</vt:lpstr>
      <vt:lpstr>IL</vt:lpstr>
      <vt:lpstr>IL2</vt:lpstr>
      <vt:lpstr>ND</vt:lpstr>
      <vt:lpstr>ND2</vt:lpstr>
      <vt:lpstr>ND3</vt:lpstr>
      <vt:lpstr>Sheet3</vt:lpstr>
      <vt:lpstr>Sheet4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2025-09-03T19:02:25Z</dcterms:created>
  <dcterms:modified xsi:type="dcterms:W3CDTF">2025-09-04T15:44:01Z</dcterms:modified>
</cp:coreProperties>
</file>