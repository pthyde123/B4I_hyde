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"/>
    </mc:Choice>
  </mc:AlternateContent>
  <xr:revisionPtr revIDLastSave="0" documentId="13_ncr:1_{3D237330-0264-4F49-8372-9ECFE21963FB}" xr6:coauthVersionLast="47" xr6:coauthVersionMax="47" xr10:uidLastSave="{00000000-0000-0000-0000-000000000000}"/>
  <bookViews>
    <workbookView xWindow="-96" yWindow="-96" windowWidth="23232" windowHeight="12552" xr2:uid="{C742F895-CD22-4FCD-8CBC-D2E9FE8C34E1}"/>
  </bookViews>
  <sheets>
    <sheet name="Sheet5" sheetId="5" r:id="rId1"/>
    <sheet name="Sheet1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5" l="1"/>
  <c r="I7" i="5"/>
  <c r="I8" i="5"/>
  <c r="I11" i="5"/>
  <c r="I12" i="5"/>
  <c r="I13" i="5"/>
  <c r="I14" i="5"/>
  <c r="I15" i="5"/>
  <c r="I9" i="5"/>
  <c r="I10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5" i="5"/>
  <c r="I4" i="5"/>
  <c r="I3" i="5"/>
  <c r="I2" i="5"/>
  <c r="F3" i="1" l="1"/>
  <c r="F2" i="1"/>
  <c r="E3" i="1"/>
  <c r="E2" i="1"/>
  <c r="D3" i="1"/>
  <c r="D2" i="1"/>
  <c r="C3" i="1"/>
  <c r="C2" i="1"/>
</calcChain>
</file>

<file path=xl/sharedStrings.xml><?xml version="1.0" encoding="utf-8"?>
<sst xmlns="http://schemas.openxmlformats.org/spreadsheetml/2006/main" count="115" uniqueCount="80">
  <si>
    <t>trial_name</t>
  </si>
  <si>
    <t>planting_date</t>
  </si>
  <si>
    <t>2025_B4I_NY</t>
  </si>
  <si>
    <t>B4I_2025_PM3D_NY</t>
  </si>
  <si>
    <t>t1_expected_date</t>
  </si>
  <si>
    <t>t1_actual_date</t>
  </si>
  <si>
    <t>t2_expected_date</t>
  </si>
  <si>
    <t>t3_expected_date</t>
  </si>
  <si>
    <t>t4_expected_date</t>
  </si>
  <si>
    <t>t4_actual_date</t>
  </si>
  <si>
    <t>t3_actual_date</t>
  </si>
  <si>
    <t>t2_actual_date</t>
  </si>
  <si>
    <t>order</t>
  </si>
  <si>
    <t>name</t>
  </si>
  <si>
    <t>sub_name</t>
  </si>
  <si>
    <t>assigned_to</t>
  </si>
  <si>
    <t>start</t>
  </si>
  <si>
    <t>end</t>
  </si>
  <si>
    <t>days</t>
  </si>
  <si>
    <t>comments</t>
  </si>
  <si>
    <t>Image</t>
  </si>
  <si>
    <t>Peter</t>
  </si>
  <si>
    <t>Stand Count</t>
  </si>
  <si>
    <t>Growth 1</t>
  </si>
  <si>
    <t>Height</t>
  </si>
  <si>
    <t>Biomass</t>
  </si>
  <si>
    <t>Maintenance 1</t>
  </si>
  <si>
    <t>Growth 2</t>
  </si>
  <si>
    <t>Height, canopy</t>
  </si>
  <si>
    <t>Maintenance 2</t>
  </si>
  <si>
    <t>Growth 3</t>
  </si>
  <si>
    <t>Maintenance 3</t>
  </si>
  <si>
    <t>Grain Harvest</t>
  </si>
  <si>
    <t>Peter Vacation 1</t>
  </si>
  <si>
    <t>Peter Vacation 2</t>
  </si>
  <si>
    <t>time_point</t>
  </si>
  <si>
    <t>oat_heading</t>
  </si>
  <si>
    <t>pea_flowering</t>
  </si>
  <si>
    <t>Maturity</t>
  </si>
  <si>
    <t>lodging</t>
  </si>
  <si>
    <t>Lodging</t>
  </si>
  <si>
    <t>UAV</t>
  </si>
  <si>
    <t>maturity</t>
  </si>
  <si>
    <t>Harvest</t>
  </si>
  <si>
    <t>Flowering</t>
  </si>
  <si>
    <t>Heading</t>
  </si>
  <si>
    <t>Phenology</t>
  </si>
  <si>
    <t>UAV 1</t>
  </si>
  <si>
    <t>Research 1</t>
  </si>
  <si>
    <t>Calibrator 1</t>
  </si>
  <si>
    <t>Leah, Adrian</t>
  </si>
  <si>
    <t>Leah, Adrian, Peter</t>
  </si>
  <si>
    <t>UAV 4</t>
  </si>
  <si>
    <t>UAV 2</t>
  </si>
  <si>
    <t>UAV 3</t>
  </si>
  <si>
    <t>traits</t>
  </si>
  <si>
    <t>PM3D Research</t>
  </si>
  <si>
    <t>PM3D Calibrator</t>
  </si>
  <si>
    <t>oat_height_t2, pea_height_t2</t>
  </si>
  <si>
    <t>oat_biomass_t2, pea_biomass_t2, weed_biomass_t2</t>
  </si>
  <si>
    <t>oat_height_t3, pea_height_t3</t>
  </si>
  <si>
    <t>oat_biomass_t3, pea_biomass_t3, weed_biomass_t3</t>
  </si>
  <si>
    <t>oat_height_t1, pea_height_t1</t>
  </si>
  <si>
    <t>oat_biomass_t1, pea_biomass_t1, weed_biomass_t1</t>
  </si>
  <si>
    <t>oat_height_t4, pea_height_t4</t>
  </si>
  <si>
    <t>oat_grain_weight, pea_grain_weight</t>
  </si>
  <si>
    <t>Grain Separation</t>
  </si>
  <si>
    <t>Adrian</t>
  </si>
  <si>
    <t>Peter, Adrian, Leah</t>
  </si>
  <si>
    <t>Research 2</t>
  </si>
  <si>
    <t>Calibrator 2</t>
  </si>
  <si>
    <t>Research 3</t>
  </si>
  <si>
    <t>Calibrator 3</t>
  </si>
  <si>
    <t xml:space="preserve">Leah Treffer </t>
  </si>
  <si>
    <t>Jean-Luc</t>
  </si>
  <si>
    <t xml:space="preserve">Adrian White </t>
  </si>
  <si>
    <t>Stand</t>
  </si>
  <si>
    <t>establishment</t>
  </si>
  <si>
    <t>Data, Field</t>
  </si>
  <si>
    <t>UAV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</si>
</sst>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333333"/>
      <name val="Verdana"/>
      <family val="2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0"/>
      <color theme="1"/>
      <name val="Century Gothic"/>
      <family val="1"/>
    </font>
    <font>
      <sz val="10"/>
      <color theme="1"/>
      <name val="Century Gothic"/>
      <family val="2"/>
    </font>
    <font>
      <sz val="10"/>
      <color rgb="FF000000"/>
      <name val="Century Gothic"/>
      <family val="1"/>
    </font>
    <font>
      <sz val="10"/>
      <color theme="1"/>
      <name val="Century Gothic"/>
      <family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top" wrapText="1"/>
    </xf>
    <xf numFmtId="14" fontId="2" fillId="0" borderId="1" xfId="0" applyNumberFormat="1" applyFont="1" applyBorder="1" applyAlignment="1">
      <alignment horizontal="right" wrapText="1"/>
    </xf>
    <xf numFmtId="0" fontId="0" fillId="0" borderId="1" xfId="0" applyBorder="1"/>
    <xf numFmtId="14" fontId="2" fillId="0" borderId="1" xfId="0" applyNumberFormat="1" applyFont="1" applyBorder="1" applyAlignment="1">
      <alignment wrapText="1"/>
    </xf>
    <xf numFmtId="0" fontId="4" fillId="0" borderId="1" xfId="1" applyFont="1" applyBorder="1" applyAlignment="1">
      <alignment horizontal="left" vertical="center" wrapText="1" indent="1"/>
    </xf>
    <xf numFmtId="0" fontId="5" fillId="0" borderId="1" xfId="1" applyFont="1" applyBorder="1" applyAlignment="1">
      <alignment horizontal="left" vertical="center" wrapText="1" indent="1"/>
    </xf>
    <xf numFmtId="14" fontId="0" fillId="0" borderId="1" xfId="0" applyNumberFormat="1" applyBorder="1"/>
    <xf numFmtId="0" fontId="6" fillId="3" borderId="1" xfId="1" applyFont="1" applyFill="1" applyBorder="1" applyAlignment="1">
      <alignment horizontal="left" vertical="center" wrapText="1" indent="1" readingOrder="1"/>
    </xf>
    <xf numFmtId="0" fontId="7" fillId="4" borderId="1" xfId="1" applyFont="1" applyFill="1" applyBorder="1" applyAlignment="1">
      <alignment horizontal="left" vertical="center" wrapText="1" indent="1"/>
    </xf>
    <xf numFmtId="0" fontId="6" fillId="5" borderId="1" xfId="1" applyFont="1" applyFill="1" applyBorder="1" applyAlignment="1">
      <alignment horizontal="left" vertical="center" wrapText="1" indent="1" readingOrder="1"/>
    </xf>
    <xf numFmtId="0" fontId="6" fillId="6" borderId="1" xfId="1" applyFont="1" applyFill="1" applyBorder="1" applyAlignment="1">
      <alignment horizontal="left" vertical="center" wrapText="1" indent="1" readingOrder="1"/>
    </xf>
    <xf numFmtId="0" fontId="6" fillId="7" borderId="1" xfId="1" applyFont="1" applyFill="1" applyBorder="1" applyAlignment="1">
      <alignment horizontal="left" vertical="center" wrapText="1" indent="1" readingOrder="1"/>
    </xf>
    <xf numFmtId="0" fontId="6" fillId="8" borderId="1" xfId="1" applyFont="1" applyFill="1" applyBorder="1" applyAlignment="1">
      <alignment horizontal="left" vertical="center" wrapText="1" indent="1" readingOrder="1"/>
    </xf>
    <xf numFmtId="0" fontId="7" fillId="0" borderId="1" xfId="1" applyFont="1" applyBorder="1" applyAlignment="1">
      <alignment horizontal="left" vertical="center" wrapText="1" indent="1"/>
    </xf>
    <xf numFmtId="0" fontId="6" fillId="4" borderId="1" xfId="1" applyFont="1" applyFill="1" applyBorder="1" applyAlignment="1">
      <alignment horizontal="left" vertical="center" wrapText="1" indent="1" readingOrder="1"/>
    </xf>
  </cellXfs>
  <cellStyles count="2">
    <cellStyle name="Normal" xfId="0" builtinId="0"/>
    <cellStyle name="Normal 3" xfId="1" xr:uid="{77F1E3BA-289D-4E75-8935-C13F9929F4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238053511906851E-2"/>
          <c:y val="6.6204646700430234E-2"/>
          <c:w val="0.81772926418122172"/>
          <c:h val="0.8663730922523573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Sheet5!$G$1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</c:spPr>
          </c:dPt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</c:spPr>
          </c:dPt>
          <c:dPt>
            <c:idx val="6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</c:spPr>
          </c:dPt>
          <c:dPt>
            <c:idx val="8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</c:spPr>
          </c:dPt>
          <c:dPt>
            <c:idx val="1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</c:spPr>
          </c:dPt>
          <c:cat>
            <c:strRef>
              <c:f>Sheet5!$C$2:$C$31</c:f>
              <c:strCache>
                <c:ptCount val="30"/>
                <c:pt idx="0">
                  <c:v>UAV 0</c:v>
                </c:pt>
                <c:pt idx="1">
                  <c:v>Stand Count</c:v>
                </c:pt>
                <c:pt idx="2">
                  <c:v>Growth 1</c:v>
                </c:pt>
                <c:pt idx="3">
                  <c:v>UAV 1</c:v>
                </c:pt>
                <c:pt idx="4">
                  <c:v>Research 1</c:v>
                </c:pt>
                <c:pt idx="5">
                  <c:v>Calibrator 1</c:v>
                </c:pt>
                <c:pt idx="6">
                  <c:v>Maintenance 1</c:v>
                </c:pt>
                <c:pt idx="7">
                  <c:v>Flowering</c:v>
                </c:pt>
                <c:pt idx="8">
                  <c:v>Heading</c:v>
                </c:pt>
                <c:pt idx="9">
                  <c:v>Growth 2</c:v>
                </c:pt>
                <c:pt idx="10">
                  <c:v>UAV 2</c:v>
                </c:pt>
                <c:pt idx="11">
                  <c:v>Research 2</c:v>
                </c:pt>
                <c:pt idx="12">
                  <c:v>Calibrator 2</c:v>
                </c:pt>
                <c:pt idx="13">
                  <c:v>Maintenance 2</c:v>
                </c:pt>
                <c:pt idx="14">
                  <c:v>Maturity</c:v>
                </c:pt>
                <c:pt idx="15">
                  <c:v>Growth 3</c:v>
                </c:pt>
                <c:pt idx="16">
                  <c:v>UAV 3</c:v>
                </c:pt>
                <c:pt idx="17">
                  <c:v>Research 3</c:v>
                </c:pt>
                <c:pt idx="18">
                  <c:v>Calibrator 3</c:v>
                </c:pt>
                <c:pt idx="19">
                  <c:v>Maintenance 3</c:v>
                </c:pt>
                <c:pt idx="20">
                  <c:v>UAV 4</c:v>
                </c:pt>
                <c:pt idx="21">
                  <c:v>Height</c:v>
                </c:pt>
                <c:pt idx="22">
                  <c:v>Lodging</c:v>
                </c:pt>
                <c:pt idx="23">
                  <c:v>Grain Harvest</c:v>
                </c:pt>
                <c:pt idx="24">
                  <c:v>Grain Separation</c:v>
                </c:pt>
                <c:pt idx="25">
                  <c:v>Peter Vacation 1</c:v>
                </c:pt>
                <c:pt idx="26">
                  <c:v>Peter Vacation 2</c:v>
                </c:pt>
                <c:pt idx="27">
                  <c:v>Jean-Luc</c:v>
                </c:pt>
                <c:pt idx="28">
                  <c:v>Adrian White </c:v>
                </c:pt>
                <c:pt idx="29">
                  <c:v>Leah Treffer </c:v>
                </c:pt>
              </c:strCache>
            </c:strRef>
          </c:cat>
          <c:val>
            <c:numRef>
              <c:f>Sheet5!$G$2:$G$31</c:f>
              <c:numCache>
                <c:formatCode>m/d/yyyy</c:formatCode>
                <c:ptCount val="30"/>
                <c:pt idx="0">
                  <c:v>45796</c:v>
                </c:pt>
                <c:pt idx="1">
                  <c:v>45796</c:v>
                </c:pt>
                <c:pt idx="2">
                  <c:v>45807</c:v>
                </c:pt>
                <c:pt idx="3">
                  <c:v>45807</c:v>
                </c:pt>
                <c:pt idx="4">
                  <c:v>45807</c:v>
                </c:pt>
                <c:pt idx="5">
                  <c:v>45807</c:v>
                </c:pt>
                <c:pt idx="6">
                  <c:v>45807</c:v>
                </c:pt>
                <c:pt idx="7">
                  <c:v>45817</c:v>
                </c:pt>
                <c:pt idx="8">
                  <c:v>45817</c:v>
                </c:pt>
                <c:pt idx="9">
                  <c:v>45828</c:v>
                </c:pt>
                <c:pt idx="10">
                  <c:v>45828</c:v>
                </c:pt>
                <c:pt idx="11">
                  <c:v>45828</c:v>
                </c:pt>
                <c:pt idx="12">
                  <c:v>45828</c:v>
                </c:pt>
                <c:pt idx="13">
                  <c:v>45828</c:v>
                </c:pt>
                <c:pt idx="14">
                  <c:v>45847</c:v>
                </c:pt>
                <c:pt idx="15">
                  <c:v>45849</c:v>
                </c:pt>
                <c:pt idx="16">
                  <c:v>45849</c:v>
                </c:pt>
                <c:pt idx="17">
                  <c:v>45849</c:v>
                </c:pt>
                <c:pt idx="18">
                  <c:v>45849</c:v>
                </c:pt>
                <c:pt idx="19">
                  <c:v>45849</c:v>
                </c:pt>
                <c:pt idx="20">
                  <c:v>45870</c:v>
                </c:pt>
                <c:pt idx="21">
                  <c:v>45870</c:v>
                </c:pt>
                <c:pt idx="22">
                  <c:v>45870</c:v>
                </c:pt>
                <c:pt idx="23">
                  <c:v>45873</c:v>
                </c:pt>
                <c:pt idx="24">
                  <c:v>45881</c:v>
                </c:pt>
                <c:pt idx="25">
                  <c:v>45840</c:v>
                </c:pt>
                <c:pt idx="26">
                  <c:v>45885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90-4E08-B02E-BE7B70B74609}"/>
            </c:ext>
          </c:extLst>
        </c:ser>
        <c:ser>
          <c:idx val="1"/>
          <c:order val="1"/>
          <c:tx>
            <c:strRef>
              <c:f>Sheet5!$I$1</c:f>
              <c:strCache>
                <c:ptCount val="1"/>
                <c:pt idx="0">
                  <c:v>days</c:v>
                </c:pt>
              </c:strCache>
            </c:strRef>
          </c:tx>
          <c:invertIfNegative val="0"/>
          <c:cat>
            <c:strRef>
              <c:f>Sheet5!$C$2:$C$31</c:f>
              <c:strCache>
                <c:ptCount val="30"/>
                <c:pt idx="0">
                  <c:v>UAV 0</c:v>
                </c:pt>
                <c:pt idx="1">
                  <c:v>Stand Count</c:v>
                </c:pt>
                <c:pt idx="2">
                  <c:v>Growth 1</c:v>
                </c:pt>
                <c:pt idx="3">
                  <c:v>UAV 1</c:v>
                </c:pt>
                <c:pt idx="4">
                  <c:v>Research 1</c:v>
                </c:pt>
                <c:pt idx="5">
                  <c:v>Calibrator 1</c:v>
                </c:pt>
                <c:pt idx="6">
                  <c:v>Maintenance 1</c:v>
                </c:pt>
                <c:pt idx="7">
                  <c:v>Flowering</c:v>
                </c:pt>
                <c:pt idx="8">
                  <c:v>Heading</c:v>
                </c:pt>
                <c:pt idx="9">
                  <c:v>Growth 2</c:v>
                </c:pt>
                <c:pt idx="10">
                  <c:v>UAV 2</c:v>
                </c:pt>
                <c:pt idx="11">
                  <c:v>Research 2</c:v>
                </c:pt>
                <c:pt idx="12">
                  <c:v>Calibrator 2</c:v>
                </c:pt>
                <c:pt idx="13">
                  <c:v>Maintenance 2</c:v>
                </c:pt>
                <c:pt idx="14">
                  <c:v>Maturity</c:v>
                </c:pt>
                <c:pt idx="15">
                  <c:v>Growth 3</c:v>
                </c:pt>
                <c:pt idx="16">
                  <c:v>UAV 3</c:v>
                </c:pt>
                <c:pt idx="17">
                  <c:v>Research 3</c:v>
                </c:pt>
                <c:pt idx="18">
                  <c:v>Calibrator 3</c:v>
                </c:pt>
                <c:pt idx="19">
                  <c:v>Maintenance 3</c:v>
                </c:pt>
                <c:pt idx="20">
                  <c:v>UAV 4</c:v>
                </c:pt>
                <c:pt idx="21">
                  <c:v>Height</c:v>
                </c:pt>
                <c:pt idx="22">
                  <c:v>Lodging</c:v>
                </c:pt>
                <c:pt idx="23">
                  <c:v>Grain Harvest</c:v>
                </c:pt>
                <c:pt idx="24">
                  <c:v>Grain Separation</c:v>
                </c:pt>
                <c:pt idx="25">
                  <c:v>Peter Vacation 1</c:v>
                </c:pt>
                <c:pt idx="26">
                  <c:v>Peter Vacation 2</c:v>
                </c:pt>
                <c:pt idx="27">
                  <c:v>Jean-Luc</c:v>
                </c:pt>
                <c:pt idx="28">
                  <c:v>Adrian White </c:v>
                </c:pt>
                <c:pt idx="29">
                  <c:v>Leah Treffer </c:v>
                </c:pt>
              </c:strCache>
            </c:strRef>
          </c:cat>
          <c:val>
            <c:numRef>
              <c:f>Sheet5!$I$2:$I$31</c:f>
              <c:numCache>
                <c:formatCode>General</c:formatCode>
                <c:ptCount val="30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31</c:v>
                </c:pt>
                <c:pt idx="8">
                  <c:v>31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24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790-4E08-B02E-BE7B70B74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70218496"/>
        <c:axId val="70220032"/>
      </c:barChart>
      <c:catAx>
        <c:axId val="70218496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txPr>
          <a:bodyPr anchor="ctr" anchorCtr="1"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en-US"/>
          </a:p>
        </c:txPr>
        <c:crossAx val="70220032"/>
        <c:crosses val="max"/>
        <c:auto val="1"/>
        <c:lblAlgn val="ctr"/>
        <c:lblOffset val="100"/>
        <c:noMultiLvlLbl val="0"/>
      </c:catAx>
      <c:valAx>
        <c:axId val="70220032"/>
        <c:scaling>
          <c:orientation val="minMax"/>
          <c:min val="45060"/>
        </c:scaling>
        <c:delete val="0"/>
        <c:axPos val="b"/>
        <c:majorGridlines/>
        <c:numFmt formatCode="m/d/yyyy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en-US"/>
          </a:p>
        </c:txPr>
        <c:crossAx val="70218496"/>
        <c:crosses val="autoZero"/>
        <c:crossBetween val="between"/>
        <c:minorUnit val="1"/>
      </c:valAx>
    </c:plotArea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 orientation="portrait" horizontalDpi="-4" vertic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40</xdr:row>
      <xdr:rowOff>0</xdr:rowOff>
    </xdr:from>
    <xdr:to>
      <xdr:col>9</xdr:col>
      <xdr:colOff>2094411</xdr:colOff>
      <xdr:row>74</xdr:row>
      <xdr:rowOff>36197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9389C3-87BB-429A-8F30-BF3F3D63BF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th7\Documents\Intercrop%20JLJ\old_oat_pea_repo\2023_oat-pea\data\schedule.xlsx" TargetMode="External"/><Relationship Id="rId1" Type="http://schemas.openxmlformats.org/officeDocument/2006/relationships/externalLinkPath" Target="/Users/pth7/Documents/Intercrop%20JLJ/old_oat_pea_repo/2023_oat-pea/data/schedu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Sheet1"/>
      <sheetName val="Sheet2"/>
    </sheetNames>
    <sheetDataSet>
      <sheetData sheetId="0"/>
      <sheetData sheetId="1">
        <row r="1">
          <cell r="E1" t="str">
            <v>START DATE</v>
          </cell>
          <cell r="G1" t="str">
            <v>DURATION in days</v>
          </cell>
        </row>
        <row r="2">
          <cell r="A2" t="str">
            <v>Drone Imaging Pre</v>
          </cell>
          <cell r="E2">
            <v>45061</v>
          </cell>
          <cell r="G2">
            <v>4</v>
          </cell>
        </row>
        <row r="3">
          <cell r="A3" t="str">
            <v>Drone Imaging 1</v>
          </cell>
          <cell r="E3">
            <v>45071</v>
          </cell>
          <cell r="G3">
            <v>1</v>
          </cell>
        </row>
        <row r="4">
          <cell r="A4" t="str">
            <v>Biomass Harvest 1</v>
          </cell>
          <cell r="E4">
            <v>45075</v>
          </cell>
          <cell r="G4">
            <v>4</v>
          </cell>
        </row>
        <row r="5">
          <cell r="A5" t="str">
            <v>Drone Imaging 2</v>
          </cell>
          <cell r="E5">
            <v>45099</v>
          </cell>
          <cell r="G5">
            <v>1</v>
          </cell>
        </row>
        <row r="6">
          <cell r="A6" t="str">
            <v>Biomass Harvest 2</v>
          </cell>
          <cell r="E6">
            <v>45103</v>
          </cell>
          <cell r="G6">
            <v>4</v>
          </cell>
        </row>
        <row r="7">
          <cell r="A7" t="str">
            <v>Drone Imaging 3</v>
          </cell>
          <cell r="E7">
            <v>45127</v>
          </cell>
          <cell r="G7">
            <v>1</v>
          </cell>
        </row>
        <row r="8">
          <cell r="A8" t="str">
            <v>Biomass Harvest 3</v>
          </cell>
          <cell r="E8">
            <v>45131</v>
          </cell>
          <cell r="G8">
            <v>4</v>
          </cell>
        </row>
        <row r="9">
          <cell r="A9" t="str">
            <v>Drone Imaging 4</v>
          </cell>
          <cell r="E9">
            <v>45097</v>
          </cell>
          <cell r="G9">
            <v>1</v>
          </cell>
        </row>
        <row r="10">
          <cell r="A10" t="str">
            <v>Biomass Harvest 4</v>
          </cell>
          <cell r="E10">
            <v>45101</v>
          </cell>
          <cell r="G10">
            <v>4</v>
          </cell>
        </row>
        <row r="11">
          <cell r="A11" t="str">
            <v>Drone Imaging 5</v>
          </cell>
        </row>
        <row r="12">
          <cell r="A12" t="str">
            <v>Grain Harvest</v>
          </cell>
          <cell r="E12">
            <v>45122</v>
          </cell>
        </row>
        <row r="13">
          <cell r="A13" t="str">
            <v>Peter Vacation</v>
          </cell>
          <cell r="E13">
            <v>45124</v>
          </cell>
          <cell r="G13">
            <v>11</v>
          </cell>
        </row>
        <row r="14">
          <cell r="A14" t="str">
            <v>Ailene Doherty</v>
          </cell>
          <cell r="E14">
            <v>45075</v>
          </cell>
          <cell r="G14">
            <v>81</v>
          </cell>
        </row>
        <row r="15">
          <cell r="A15" t="str">
            <v>Lila White</v>
          </cell>
          <cell r="E15">
            <v>45077</v>
          </cell>
          <cell r="G15">
            <v>79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77EDB-A39A-4454-9084-5D265165F131}">
  <dimension ref="A1:J31"/>
  <sheetViews>
    <sheetView tabSelected="1" workbookViewId="0">
      <selection activeCell="E2" sqref="E2"/>
    </sheetView>
  </sheetViews>
  <sheetFormatPr defaultColWidth="17.7109375" defaultRowHeight="15" x14ac:dyDescent="0.25"/>
  <cols>
    <col min="1" max="1" width="5.7109375" bestFit="1" customWidth="1"/>
    <col min="2" max="2" width="13.5703125" customWidth="1"/>
    <col min="3" max="3" width="20.28515625" customWidth="1"/>
    <col min="4" max="4" width="19.7109375" bestFit="1" customWidth="1"/>
    <col min="5" max="5" width="37.5703125" bestFit="1" customWidth="1"/>
    <col min="6" max="6" width="23" customWidth="1"/>
    <col min="7" max="8" width="9.42578125" bestFit="1" customWidth="1"/>
    <col min="9" max="9" width="15.140625" customWidth="1"/>
    <col min="10" max="10" width="37.140625" customWidth="1"/>
  </cols>
  <sheetData>
    <row r="1" spans="1:10" x14ac:dyDescent="0.25">
      <c r="A1" s="3" t="s">
        <v>12</v>
      </c>
      <c r="B1" s="3" t="s">
        <v>35</v>
      </c>
      <c r="C1" s="5" t="s">
        <v>13</v>
      </c>
      <c r="D1" s="5" t="s">
        <v>14</v>
      </c>
      <c r="E1" s="5" t="s">
        <v>55</v>
      </c>
      <c r="F1" s="5" t="s">
        <v>15</v>
      </c>
      <c r="G1" s="5" t="s">
        <v>16</v>
      </c>
      <c r="H1" s="5" t="s">
        <v>17</v>
      </c>
      <c r="I1" s="5" t="s">
        <v>18</v>
      </c>
      <c r="J1" s="5" t="s">
        <v>19</v>
      </c>
    </row>
    <row r="2" spans="1:10" x14ac:dyDescent="0.25">
      <c r="A2" s="3">
        <v>1</v>
      </c>
      <c r="B2" s="3">
        <v>0</v>
      </c>
      <c r="C2" s="6" t="s">
        <v>79</v>
      </c>
      <c r="D2" s="6" t="s">
        <v>20</v>
      </c>
      <c r="E2" s="6"/>
      <c r="F2" s="6" t="s">
        <v>21</v>
      </c>
      <c r="G2" s="7">
        <v>45796</v>
      </c>
      <c r="H2" s="7">
        <v>45797</v>
      </c>
      <c r="I2" s="3">
        <f>(H2-G2)+1</f>
        <v>2</v>
      </c>
      <c r="J2" s="5"/>
    </row>
    <row r="3" spans="1:10" x14ac:dyDescent="0.25">
      <c r="A3" s="3">
        <v>2</v>
      </c>
      <c r="B3" s="3">
        <v>0</v>
      </c>
      <c r="C3" s="6" t="s">
        <v>22</v>
      </c>
      <c r="D3" s="6" t="s">
        <v>76</v>
      </c>
      <c r="E3" t="s">
        <v>77</v>
      </c>
      <c r="F3" s="6" t="s">
        <v>21</v>
      </c>
      <c r="G3" s="7">
        <v>45796</v>
      </c>
      <c r="H3" s="7">
        <v>45797</v>
      </c>
      <c r="I3" s="3">
        <f t="shared" ref="I3:I28" si="0">(H3-G3)+1</f>
        <v>2</v>
      </c>
      <c r="J3" s="5"/>
    </row>
    <row r="4" spans="1:10" x14ac:dyDescent="0.25">
      <c r="A4" s="3">
        <v>3</v>
      </c>
      <c r="B4" s="3">
        <v>1</v>
      </c>
      <c r="C4" s="8" t="s">
        <v>23</v>
      </c>
      <c r="D4" s="8" t="s">
        <v>24</v>
      </c>
      <c r="E4" s="8" t="s">
        <v>62</v>
      </c>
      <c r="F4" s="6" t="s">
        <v>51</v>
      </c>
      <c r="G4" s="4">
        <v>45807</v>
      </c>
      <c r="H4" s="7">
        <v>45811</v>
      </c>
      <c r="I4" s="3">
        <f t="shared" si="0"/>
        <v>5</v>
      </c>
      <c r="J4" s="9"/>
    </row>
    <row r="5" spans="1:10" x14ac:dyDescent="0.25">
      <c r="A5" s="3">
        <v>4</v>
      </c>
      <c r="B5" s="3">
        <v>1</v>
      </c>
      <c r="C5" s="8" t="s">
        <v>47</v>
      </c>
      <c r="D5" s="8" t="s">
        <v>41</v>
      </c>
      <c r="E5" s="8"/>
      <c r="F5" s="9" t="s">
        <v>21</v>
      </c>
      <c r="G5" s="4">
        <v>45807</v>
      </c>
      <c r="H5" s="7">
        <v>45811</v>
      </c>
      <c r="I5" s="3">
        <f t="shared" si="0"/>
        <v>5</v>
      </c>
      <c r="J5" s="9"/>
    </row>
    <row r="6" spans="1:10" x14ac:dyDescent="0.25">
      <c r="A6" s="3">
        <v>5</v>
      </c>
      <c r="B6" s="3">
        <v>1</v>
      </c>
      <c r="C6" s="8" t="s">
        <v>48</v>
      </c>
      <c r="D6" s="8" t="s">
        <v>20</v>
      </c>
      <c r="E6" s="8"/>
      <c r="F6" s="6" t="s">
        <v>50</v>
      </c>
      <c r="G6" s="4">
        <v>45807</v>
      </c>
      <c r="H6" s="7">
        <v>45811</v>
      </c>
      <c r="I6" s="3">
        <f t="shared" si="0"/>
        <v>5</v>
      </c>
      <c r="J6" s="6"/>
    </row>
    <row r="7" spans="1:10" ht="27" x14ac:dyDescent="0.25">
      <c r="A7" s="3">
        <v>6</v>
      </c>
      <c r="B7" s="3">
        <v>1</v>
      </c>
      <c r="C7" s="8" t="s">
        <v>49</v>
      </c>
      <c r="D7" s="8" t="s">
        <v>25</v>
      </c>
      <c r="E7" s="8" t="s">
        <v>63</v>
      </c>
      <c r="F7" s="6" t="s">
        <v>51</v>
      </c>
      <c r="G7" s="4">
        <v>45807</v>
      </c>
      <c r="H7" s="7">
        <v>45811</v>
      </c>
      <c r="I7" s="3">
        <f t="shared" si="0"/>
        <v>5</v>
      </c>
      <c r="J7" s="9"/>
    </row>
    <row r="8" spans="1:10" x14ac:dyDescent="0.25">
      <c r="A8" s="3">
        <v>7</v>
      </c>
      <c r="B8" s="3">
        <v>1</v>
      </c>
      <c r="C8" s="8" t="s">
        <v>26</v>
      </c>
      <c r="D8" s="8" t="s">
        <v>78</v>
      </c>
      <c r="E8" s="8"/>
      <c r="F8" s="6" t="s">
        <v>51</v>
      </c>
      <c r="G8" s="4">
        <v>45807</v>
      </c>
      <c r="H8" s="7">
        <v>45811</v>
      </c>
      <c r="I8" s="3">
        <f t="shared" si="0"/>
        <v>5</v>
      </c>
      <c r="J8" s="9"/>
    </row>
    <row r="9" spans="1:10" x14ac:dyDescent="0.25">
      <c r="A9" s="3">
        <v>8</v>
      </c>
      <c r="B9" s="3">
        <v>1.5</v>
      </c>
      <c r="C9" s="12" t="s">
        <v>44</v>
      </c>
      <c r="D9" s="12" t="s">
        <v>46</v>
      </c>
      <c r="E9" s="12" t="s">
        <v>37</v>
      </c>
      <c r="F9" s="9" t="s">
        <v>67</v>
      </c>
      <c r="G9" s="7">
        <v>45817</v>
      </c>
      <c r="H9" s="7">
        <v>45847</v>
      </c>
      <c r="I9" s="3">
        <f>(H9-G9)+1</f>
        <v>31</v>
      </c>
      <c r="J9" s="9"/>
    </row>
    <row r="10" spans="1:10" x14ac:dyDescent="0.25">
      <c r="A10" s="3">
        <v>9</v>
      </c>
      <c r="B10" s="3">
        <v>1.5</v>
      </c>
      <c r="C10" s="12" t="s">
        <v>45</v>
      </c>
      <c r="D10" s="12" t="s">
        <v>46</v>
      </c>
      <c r="E10" s="12" t="s">
        <v>36</v>
      </c>
      <c r="F10" s="6" t="s">
        <v>67</v>
      </c>
      <c r="G10" s="7">
        <v>45817</v>
      </c>
      <c r="H10" s="7">
        <v>45847</v>
      </c>
      <c r="I10" s="3">
        <f>(H10-G10)+1</f>
        <v>31</v>
      </c>
      <c r="J10" s="9"/>
    </row>
    <row r="11" spans="1:10" x14ac:dyDescent="0.25">
      <c r="A11" s="3">
        <v>10</v>
      </c>
      <c r="B11" s="3">
        <v>2</v>
      </c>
      <c r="C11" s="10" t="s">
        <v>27</v>
      </c>
      <c r="D11" s="10" t="s">
        <v>24</v>
      </c>
      <c r="E11" s="10" t="s">
        <v>58</v>
      </c>
      <c r="F11" s="6" t="s">
        <v>50</v>
      </c>
      <c r="G11" s="4">
        <v>45828</v>
      </c>
      <c r="H11" s="7">
        <v>45832</v>
      </c>
      <c r="I11" s="3">
        <f t="shared" si="0"/>
        <v>5</v>
      </c>
      <c r="J11" s="9"/>
    </row>
    <row r="12" spans="1:10" x14ac:dyDescent="0.25">
      <c r="A12" s="3">
        <v>11</v>
      </c>
      <c r="B12" s="3">
        <v>2</v>
      </c>
      <c r="C12" s="10" t="s">
        <v>53</v>
      </c>
      <c r="D12" s="10" t="s">
        <v>41</v>
      </c>
      <c r="E12" s="10"/>
      <c r="F12" s="9" t="s">
        <v>21</v>
      </c>
      <c r="G12" s="4">
        <v>45828</v>
      </c>
      <c r="H12" s="7">
        <v>45832</v>
      </c>
      <c r="I12" s="3">
        <f t="shared" si="0"/>
        <v>5</v>
      </c>
      <c r="J12" s="9"/>
    </row>
    <row r="13" spans="1:10" x14ac:dyDescent="0.25">
      <c r="A13" s="3">
        <v>12</v>
      </c>
      <c r="B13" s="3">
        <v>2</v>
      </c>
      <c r="C13" s="10" t="s">
        <v>69</v>
      </c>
      <c r="D13" s="10" t="s">
        <v>56</v>
      </c>
      <c r="E13" s="10"/>
      <c r="F13" s="6" t="s">
        <v>50</v>
      </c>
      <c r="G13" s="4">
        <v>45828</v>
      </c>
      <c r="H13" s="7">
        <v>45832</v>
      </c>
      <c r="I13" s="3">
        <f t="shared" si="0"/>
        <v>5</v>
      </c>
      <c r="J13" s="9"/>
    </row>
    <row r="14" spans="1:10" ht="27" x14ac:dyDescent="0.25">
      <c r="A14" s="3">
        <v>13</v>
      </c>
      <c r="B14" s="3">
        <v>2</v>
      </c>
      <c r="C14" s="10" t="s">
        <v>70</v>
      </c>
      <c r="D14" s="10" t="s">
        <v>57</v>
      </c>
      <c r="E14" s="10" t="s">
        <v>59</v>
      </c>
      <c r="F14" s="6" t="s">
        <v>51</v>
      </c>
      <c r="G14" s="4">
        <v>45828</v>
      </c>
      <c r="H14" s="7">
        <v>45832</v>
      </c>
      <c r="I14" s="3">
        <f t="shared" si="0"/>
        <v>5</v>
      </c>
      <c r="J14" s="9"/>
    </row>
    <row r="15" spans="1:10" x14ac:dyDescent="0.25">
      <c r="A15" s="3">
        <v>14</v>
      </c>
      <c r="B15" s="3">
        <v>2</v>
      </c>
      <c r="C15" s="10" t="s">
        <v>29</v>
      </c>
      <c r="D15" s="10" t="s">
        <v>78</v>
      </c>
      <c r="E15" s="10"/>
      <c r="F15" s="6" t="s">
        <v>51</v>
      </c>
      <c r="G15" s="4">
        <v>45828</v>
      </c>
      <c r="H15" s="7">
        <v>45832</v>
      </c>
      <c r="I15" s="3">
        <f t="shared" si="0"/>
        <v>5</v>
      </c>
      <c r="J15" s="9"/>
    </row>
    <row r="16" spans="1:10" x14ac:dyDescent="0.25">
      <c r="A16" s="3">
        <v>15</v>
      </c>
      <c r="B16" s="3">
        <v>2.5</v>
      </c>
      <c r="C16" s="12" t="s">
        <v>38</v>
      </c>
      <c r="D16" s="12" t="s">
        <v>46</v>
      </c>
      <c r="E16" s="12" t="s">
        <v>42</v>
      </c>
      <c r="F16" s="9" t="s">
        <v>67</v>
      </c>
      <c r="G16" s="7">
        <v>45847</v>
      </c>
      <c r="H16" s="7">
        <v>45870</v>
      </c>
      <c r="I16" s="3">
        <f t="shared" si="0"/>
        <v>24</v>
      </c>
      <c r="J16" s="9"/>
    </row>
    <row r="17" spans="1:10" x14ac:dyDescent="0.25">
      <c r="A17" s="3">
        <v>16</v>
      </c>
      <c r="B17" s="3">
        <v>3</v>
      </c>
      <c r="C17" s="11" t="s">
        <v>30</v>
      </c>
      <c r="D17" s="11" t="s">
        <v>28</v>
      </c>
      <c r="E17" s="11" t="s">
        <v>60</v>
      </c>
      <c r="F17" s="6" t="s">
        <v>50</v>
      </c>
      <c r="G17" s="4">
        <v>45849</v>
      </c>
      <c r="H17" s="4">
        <v>45853</v>
      </c>
      <c r="I17" s="3">
        <f t="shared" si="0"/>
        <v>5</v>
      </c>
      <c r="J17" s="9"/>
    </row>
    <row r="18" spans="1:10" x14ac:dyDescent="0.25">
      <c r="A18" s="3">
        <v>17</v>
      </c>
      <c r="B18" s="3">
        <v>3</v>
      </c>
      <c r="C18" s="11" t="s">
        <v>54</v>
      </c>
      <c r="D18" s="11" t="s">
        <v>41</v>
      </c>
      <c r="E18" s="11"/>
      <c r="F18" s="9" t="s">
        <v>21</v>
      </c>
      <c r="G18" s="4">
        <v>45849</v>
      </c>
      <c r="H18" s="4">
        <v>45853</v>
      </c>
      <c r="I18" s="3">
        <f t="shared" si="0"/>
        <v>5</v>
      </c>
      <c r="J18" s="9"/>
    </row>
    <row r="19" spans="1:10" x14ac:dyDescent="0.25">
      <c r="A19" s="3">
        <v>18</v>
      </c>
      <c r="B19" s="3">
        <v>3</v>
      </c>
      <c r="C19" s="11" t="s">
        <v>71</v>
      </c>
      <c r="D19" s="11" t="s">
        <v>20</v>
      </c>
      <c r="E19" s="11"/>
      <c r="F19" s="6" t="s">
        <v>50</v>
      </c>
      <c r="G19" s="4">
        <v>45849</v>
      </c>
      <c r="H19" s="4">
        <v>45853</v>
      </c>
      <c r="I19" s="3">
        <f t="shared" si="0"/>
        <v>5</v>
      </c>
      <c r="J19" s="9"/>
    </row>
    <row r="20" spans="1:10" ht="27" x14ac:dyDescent="0.25">
      <c r="A20" s="3">
        <v>19</v>
      </c>
      <c r="B20" s="3">
        <v>3</v>
      </c>
      <c r="C20" s="11" t="s">
        <v>72</v>
      </c>
      <c r="D20" s="11" t="s">
        <v>25</v>
      </c>
      <c r="E20" s="11" t="s">
        <v>61</v>
      </c>
      <c r="F20" s="6" t="s">
        <v>51</v>
      </c>
      <c r="G20" s="4">
        <v>45849</v>
      </c>
      <c r="H20" s="4">
        <v>45853</v>
      </c>
      <c r="I20" s="3">
        <f t="shared" si="0"/>
        <v>5</v>
      </c>
      <c r="J20" s="9"/>
    </row>
    <row r="21" spans="1:10" x14ac:dyDescent="0.25">
      <c r="A21" s="3">
        <v>20</v>
      </c>
      <c r="B21" s="3">
        <v>3</v>
      </c>
      <c r="C21" s="11" t="s">
        <v>31</v>
      </c>
      <c r="D21" s="11" t="s">
        <v>78</v>
      </c>
      <c r="E21" s="11"/>
      <c r="F21" s="6" t="s">
        <v>51</v>
      </c>
      <c r="G21" s="4">
        <v>45849</v>
      </c>
      <c r="H21" s="4">
        <v>45853</v>
      </c>
      <c r="I21" s="3">
        <f t="shared" si="0"/>
        <v>5</v>
      </c>
      <c r="J21" s="9"/>
    </row>
    <row r="22" spans="1:10" x14ac:dyDescent="0.25">
      <c r="A22" s="3">
        <v>21</v>
      </c>
      <c r="B22" s="3">
        <v>4</v>
      </c>
      <c r="C22" s="13" t="s">
        <v>52</v>
      </c>
      <c r="D22" s="13" t="s">
        <v>41</v>
      </c>
      <c r="E22" s="13"/>
      <c r="F22" s="9" t="s">
        <v>21</v>
      </c>
      <c r="G22" s="7">
        <v>45870</v>
      </c>
      <c r="H22" s="7">
        <v>45874</v>
      </c>
      <c r="I22" s="3">
        <f t="shared" si="0"/>
        <v>5</v>
      </c>
      <c r="J22" s="9"/>
    </row>
    <row r="23" spans="1:10" x14ac:dyDescent="0.25">
      <c r="A23" s="3">
        <v>22</v>
      </c>
      <c r="B23" s="3">
        <v>4</v>
      </c>
      <c r="C23" s="13" t="s">
        <v>24</v>
      </c>
      <c r="D23" s="13" t="s">
        <v>43</v>
      </c>
      <c r="E23" s="13" t="s">
        <v>64</v>
      </c>
      <c r="F23" s="9" t="s">
        <v>50</v>
      </c>
      <c r="G23" s="7">
        <v>45870</v>
      </c>
      <c r="H23" s="7">
        <v>45874</v>
      </c>
      <c r="I23" s="3">
        <f t="shared" si="0"/>
        <v>5</v>
      </c>
      <c r="J23" s="9"/>
    </row>
    <row r="24" spans="1:10" x14ac:dyDescent="0.25">
      <c r="A24" s="3">
        <v>23</v>
      </c>
      <c r="B24" s="3">
        <v>4</v>
      </c>
      <c r="C24" s="13" t="s">
        <v>40</v>
      </c>
      <c r="D24" s="13" t="s">
        <v>43</v>
      </c>
      <c r="E24" s="13" t="s">
        <v>39</v>
      </c>
      <c r="F24" s="9" t="s">
        <v>50</v>
      </c>
      <c r="G24" s="7">
        <v>45870</v>
      </c>
      <c r="H24" s="7">
        <v>45874</v>
      </c>
      <c r="I24" s="3">
        <f t="shared" si="0"/>
        <v>5</v>
      </c>
      <c r="J24" s="9"/>
    </row>
    <row r="25" spans="1:10" x14ac:dyDescent="0.25">
      <c r="A25" s="3">
        <v>24</v>
      </c>
      <c r="B25" s="3">
        <v>4</v>
      </c>
      <c r="C25" s="13" t="s">
        <v>32</v>
      </c>
      <c r="D25" s="13" t="s">
        <v>43</v>
      </c>
      <c r="E25" s="13"/>
      <c r="F25" s="9" t="s">
        <v>68</v>
      </c>
      <c r="G25" s="7">
        <v>45873</v>
      </c>
      <c r="H25" s="7">
        <v>45877</v>
      </c>
      <c r="I25" s="3">
        <f t="shared" si="0"/>
        <v>5</v>
      </c>
      <c r="J25" s="9"/>
    </row>
    <row r="26" spans="1:10" x14ac:dyDescent="0.25">
      <c r="A26" s="3">
        <v>25</v>
      </c>
      <c r="B26" s="3">
        <v>5</v>
      </c>
      <c r="C26" s="13" t="s">
        <v>66</v>
      </c>
      <c r="D26" s="13" t="s">
        <v>43</v>
      </c>
      <c r="E26" s="13" t="s">
        <v>65</v>
      </c>
      <c r="F26" s="9" t="s">
        <v>67</v>
      </c>
      <c r="G26" s="7">
        <v>45881</v>
      </c>
      <c r="H26" s="7">
        <v>45885</v>
      </c>
      <c r="I26" s="3">
        <f t="shared" si="0"/>
        <v>5</v>
      </c>
      <c r="J26" s="9"/>
    </row>
    <row r="27" spans="1:10" x14ac:dyDescent="0.25">
      <c r="A27" s="3">
        <v>26</v>
      </c>
      <c r="B27" s="3">
        <v>6</v>
      </c>
      <c r="C27" s="9" t="s">
        <v>33</v>
      </c>
      <c r="D27" s="9"/>
      <c r="E27" s="9"/>
      <c r="F27" s="14"/>
      <c r="G27" s="7">
        <v>45840</v>
      </c>
      <c r="H27" s="7">
        <v>45844</v>
      </c>
      <c r="I27" s="3">
        <f t="shared" si="0"/>
        <v>5</v>
      </c>
      <c r="J27" s="9"/>
    </row>
    <row r="28" spans="1:10" x14ac:dyDescent="0.25">
      <c r="A28" s="3">
        <v>27</v>
      </c>
      <c r="B28" s="3">
        <v>6</v>
      </c>
      <c r="C28" s="9" t="s">
        <v>34</v>
      </c>
      <c r="D28" s="9"/>
      <c r="E28" s="9"/>
      <c r="F28" s="14"/>
      <c r="G28" s="7">
        <v>45885</v>
      </c>
      <c r="H28" s="7">
        <v>45893</v>
      </c>
      <c r="I28" s="3">
        <f t="shared" si="0"/>
        <v>9</v>
      </c>
      <c r="J28" s="9"/>
    </row>
    <row r="29" spans="1:10" x14ac:dyDescent="0.25">
      <c r="A29" s="3">
        <v>28</v>
      </c>
      <c r="B29" s="3">
        <v>6</v>
      </c>
      <c r="C29" s="9" t="s">
        <v>74</v>
      </c>
      <c r="D29" s="9"/>
      <c r="E29" s="9"/>
      <c r="F29" s="14"/>
      <c r="G29" s="7"/>
      <c r="H29" s="7"/>
      <c r="I29" s="3"/>
      <c r="J29" s="9"/>
    </row>
    <row r="30" spans="1:10" x14ac:dyDescent="0.25">
      <c r="A30" s="3">
        <v>29</v>
      </c>
      <c r="B30" s="3">
        <v>6</v>
      </c>
      <c r="C30" s="9" t="s">
        <v>75</v>
      </c>
      <c r="D30" s="15"/>
      <c r="E30" s="15"/>
      <c r="F30" s="14"/>
      <c r="G30" s="7"/>
      <c r="H30" s="7"/>
      <c r="I30" s="3"/>
      <c r="J30" s="9"/>
    </row>
    <row r="31" spans="1:10" x14ac:dyDescent="0.25">
      <c r="A31" s="3">
        <v>30</v>
      </c>
      <c r="B31" s="3">
        <v>6</v>
      </c>
      <c r="C31" s="9" t="s">
        <v>73</v>
      </c>
      <c r="D31" s="3"/>
      <c r="E31" s="3"/>
      <c r="F31" s="3"/>
      <c r="G31" s="7"/>
      <c r="H31" s="7"/>
      <c r="I31" s="3"/>
      <c r="J31" s="3"/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27A02-278E-437A-9760-550CA7DE00CC}">
  <dimension ref="A1:J3"/>
  <sheetViews>
    <sheetView workbookViewId="0">
      <selection activeCell="G36" sqref="G36"/>
    </sheetView>
  </sheetViews>
  <sheetFormatPr defaultRowHeight="15" x14ac:dyDescent="0.25"/>
  <cols>
    <col min="1" max="1" width="19.5703125" bestFit="1" customWidth="1"/>
    <col min="2" max="2" width="13.7109375" bestFit="1" customWidth="1"/>
    <col min="3" max="6" width="17.85546875" bestFit="1" customWidth="1"/>
    <col min="7" max="10" width="14.85546875" bestFit="1" customWidth="1"/>
  </cols>
  <sheetData>
    <row r="1" spans="1:10" x14ac:dyDescent="0.25">
      <c r="A1" s="1" t="s">
        <v>0</v>
      </c>
      <c r="B1" s="1" t="s">
        <v>1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5</v>
      </c>
      <c r="H1" s="1" t="s">
        <v>11</v>
      </c>
      <c r="I1" s="1" t="s">
        <v>10</v>
      </c>
      <c r="J1" s="1" t="s">
        <v>9</v>
      </c>
    </row>
    <row r="2" spans="1:10" x14ac:dyDescent="0.25">
      <c r="A2" s="1" t="s">
        <v>2</v>
      </c>
      <c r="B2" s="2">
        <v>45772</v>
      </c>
      <c r="C2" s="4">
        <f>B2+35</f>
        <v>45807</v>
      </c>
      <c r="D2" s="4">
        <f>B2+56</f>
        <v>45828</v>
      </c>
      <c r="E2" s="4">
        <f>B2+77</f>
        <v>45849</v>
      </c>
      <c r="F2" s="4">
        <f>B2+98</f>
        <v>45870</v>
      </c>
      <c r="G2" s="3"/>
      <c r="H2" s="3"/>
      <c r="I2" s="3"/>
      <c r="J2" s="3"/>
    </row>
    <row r="3" spans="1:10" x14ac:dyDescent="0.25">
      <c r="A3" s="1" t="s">
        <v>3</v>
      </c>
      <c r="B3" s="2">
        <v>45772</v>
      </c>
      <c r="C3" s="4">
        <f>B3+35</f>
        <v>45807</v>
      </c>
      <c r="D3" s="4">
        <f>B3+56</f>
        <v>45828</v>
      </c>
      <c r="E3" s="4">
        <f>B3+77</f>
        <v>45849</v>
      </c>
      <c r="F3" s="4">
        <f>B3+98</f>
        <v>45870</v>
      </c>
      <c r="G3" s="3"/>
      <c r="H3" s="3"/>
      <c r="I3" s="3"/>
      <c r="J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Sheet5</vt:lpstr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2025-05-23T17:19:53Z</dcterms:created>
  <dcterms:modified xsi:type="dcterms:W3CDTF">2025-06-04T16:34:14Z</dcterms:modified>
</cp:coreProperties>
</file>