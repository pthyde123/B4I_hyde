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B4I raw data\"/>
    </mc:Choice>
  </mc:AlternateContent>
  <xr:revisionPtr revIDLastSave="0" documentId="13_ncr:1_{FCE2D007-C522-484B-ACCE-5B12D6078BEC}" xr6:coauthVersionLast="47" xr6:coauthVersionMax="47" xr10:uidLastSave="{00000000-0000-0000-0000-000000000000}"/>
  <bookViews>
    <workbookView xWindow="2772" yWindow="17172" windowWidth="23256" windowHeight="12456" activeTab="1" xr2:uid="{1C7BE12E-A7E1-42B4-9BA2-1869074203E6}"/>
  </bookViews>
  <sheets>
    <sheet name="T3_upload" sheetId="2" r:id="rId1"/>
    <sheet name="raw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K401" i="1"/>
  <c r="I401" i="1"/>
  <c r="K400" i="1"/>
  <c r="L400" i="1" s="1"/>
  <c r="M400" i="1" s="1"/>
  <c r="I400" i="1"/>
  <c r="K399" i="1"/>
  <c r="I399" i="1"/>
  <c r="K398" i="1"/>
  <c r="I398" i="1"/>
  <c r="K397" i="1"/>
  <c r="I397" i="1"/>
  <c r="K396" i="1"/>
  <c r="I396" i="1"/>
  <c r="K395" i="1"/>
  <c r="I395" i="1"/>
  <c r="K394" i="1"/>
  <c r="I394" i="1"/>
  <c r="K393" i="1"/>
  <c r="I393" i="1"/>
  <c r="K392" i="1"/>
  <c r="I392" i="1"/>
  <c r="K391" i="1"/>
  <c r="I391" i="1"/>
  <c r="K390" i="1"/>
  <c r="I390" i="1"/>
  <c r="K389" i="1"/>
  <c r="I389" i="1"/>
  <c r="K388" i="1"/>
  <c r="I388" i="1"/>
  <c r="K387" i="1"/>
  <c r="I387" i="1"/>
  <c r="K386" i="1"/>
  <c r="I386" i="1"/>
  <c r="K385" i="1"/>
  <c r="I385" i="1"/>
  <c r="K384" i="1"/>
  <c r="I384" i="1"/>
  <c r="K383" i="1"/>
  <c r="I383" i="1"/>
  <c r="K382" i="1"/>
  <c r="I382" i="1"/>
  <c r="K381" i="1"/>
  <c r="L381" i="1" s="1"/>
  <c r="M381" i="1" s="1"/>
  <c r="I381" i="1"/>
  <c r="K380" i="1"/>
  <c r="I380" i="1"/>
  <c r="K379" i="1"/>
  <c r="I379" i="1"/>
  <c r="K378" i="1"/>
  <c r="I378" i="1"/>
  <c r="K377" i="1"/>
  <c r="I377" i="1"/>
  <c r="K376" i="1"/>
  <c r="I376" i="1"/>
  <c r="K375" i="1"/>
  <c r="I375" i="1"/>
  <c r="K374" i="1"/>
  <c r="I374" i="1"/>
  <c r="K373" i="1"/>
  <c r="L373" i="1" s="1"/>
  <c r="M373" i="1" s="1"/>
  <c r="I373" i="1"/>
  <c r="K372" i="1"/>
  <c r="I372" i="1"/>
  <c r="K371" i="1"/>
  <c r="I371" i="1"/>
  <c r="K370" i="1"/>
  <c r="I370" i="1"/>
  <c r="K369" i="1"/>
  <c r="L369" i="1" s="1"/>
  <c r="M369" i="1" s="1"/>
  <c r="I369" i="1"/>
  <c r="K368" i="1"/>
  <c r="I368" i="1"/>
  <c r="K367" i="1"/>
  <c r="I367" i="1"/>
  <c r="K366" i="1"/>
  <c r="I366" i="1"/>
  <c r="K365" i="1"/>
  <c r="I365" i="1"/>
  <c r="K364" i="1"/>
  <c r="I364" i="1"/>
  <c r="K363" i="1"/>
  <c r="I363" i="1"/>
  <c r="K362" i="1"/>
  <c r="I362" i="1"/>
  <c r="K361" i="1"/>
  <c r="I361" i="1"/>
  <c r="K360" i="1"/>
  <c r="I360" i="1"/>
  <c r="K359" i="1"/>
  <c r="I359" i="1"/>
  <c r="K358" i="1"/>
  <c r="I358" i="1"/>
  <c r="K357" i="1"/>
  <c r="I357" i="1"/>
  <c r="K356" i="1"/>
  <c r="I356" i="1"/>
  <c r="K355" i="1"/>
  <c r="I355" i="1"/>
  <c r="K354" i="1"/>
  <c r="I354" i="1"/>
  <c r="K353" i="1"/>
  <c r="I353" i="1"/>
  <c r="K352" i="1"/>
  <c r="I352" i="1"/>
  <c r="K351" i="1"/>
  <c r="I351" i="1"/>
  <c r="K350" i="1"/>
  <c r="I350" i="1"/>
  <c r="K349" i="1"/>
  <c r="I349" i="1"/>
  <c r="K348" i="1"/>
  <c r="I348" i="1"/>
  <c r="K347" i="1"/>
  <c r="I347" i="1"/>
  <c r="K346" i="1"/>
  <c r="I346" i="1"/>
  <c r="K345" i="1"/>
  <c r="L345" i="1" s="1"/>
  <c r="M345" i="1" s="1"/>
  <c r="I345" i="1"/>
  <c r="K344" i="1"/>
  <c r="I344" i="1"/>
  <c r="K343" i="1"/>
  <c r="I343" i="1"/>
  <c r="K342" i="1"/>
  <c r="I342" i="1"/>
  <c r="K341" i="1"/>
  <c r="I341" i="1"/>
  <c r="K340" i="1"/>
  <c r="I340" i="1"/>
  <c r="K339" i="1"/>
  <c r="I339" i="1"/>
  <c r="K338" i="1"/>
  <c r="I338" i="1"/>
  <c r="K337" i="1"/>
  <c r="I337" i="1"/>
  <c r="K336" i="1"/>
  <c r="I336" i="1"/>
  <c r="K335" i="1"/>
  <c r="I335" i="1"/>
  <c r="K334" i="1"/>
  <c r="I334" i="1"/>
  <c r="K333" i="1"/>
  <c r="I333" i="1"/>
  <c r="K332" i="1"/>
  <c r="I332" i="1"/>
  <c r="K331" i="1"/>
  <c r="I331" i="1"/>
  <c r="K330" i="1"/>
  <c r="I330" i="1"/>
  <c r="K329" i="1"/>
  <c r="I329" i="1"/>
  <c r="K328" i="1"/>
  <c r="I328" i="1"/>
  <c r="K327" i="1"/>
  <c r="I327" i="1"/>
  <c r="K326" i="1"/>
  <c r="I326" i="1"/>
  <c r="K325" i="1"/>
  <c r="I325" i="1"/>
  <c r="K324" i="1"/>
  <c r="I324" i="1"/>
  <c r="K323" i="1"/>
  <c r="I323" i="1"/>
  <c r="K322" i="1"/>
  <c r="I322" i="1"/>
  <c r="K321" i="1"/>
  <c r="I321" i="1"/>
  <c r="K320" i="1"/>
  <c r="I320" i="1"/>
  <c r="K319" i="1"/>
  <c r="I319" i="1"/>
  <c r="K318" i="1"/>
  <c r="I318" i="1"/>
  <c r="K317" i="1"/>
  <c r="I317" i="1"/>
  <c r="K316" i="1"/>
  <c r="I316" i="1"/>
  <c r="K315" i="1"/>
  <c r="I315" i="1"/>
  <c r="K314" i="1"/>
  <c r="I314" i="1"/>
  <c r="K313" i="1"/>
  <c r="I313" i="1"/>
  <c r="K312" i="1"/>
  <c r="I312" i="1"/>
  <c r="K311" i="1"/>
  <c r="I311" i="1"/>
  <c r="K310" i="1"/>
  <c r="I310" i="1"/>
  <c r="K309" i="1"/>
  <c r="I309" i="1"/>
  <c r="K308" i="1"/>
  <c r="I308" i="1"/>
  <c r="K307" i="1"/>
  <c r="I307" i="1"/>
  <c r="K306" i="1"/>
  <c r="I306" i="1"/>
  <c r="K305" i="1"/>
  <c r="I305" i="1"/>
  <c r="K304" i="1"/>
  <c r="I304" i="1"/>
  <c r="K303" i="1"/>
  <c r="I303" i="1"/>
  <c r="K302" i="1"/>
  <c r="I302" i="1"/>
  <c r="K301" i="1"/>
  <c r="I301" i="1"/>
  <c r="K300" i="1"/>
  <c r="I300" i="1"/>
  <c r="K299" i="1"/>
  <c r="I299" i="1"/>
  <c r="K298" i="1"/>
  <c r="I298" i="1"/>
  <c r="K297" i="1"/>
  <c r="I297" i="1"/>
  <c r="K296" i="1"/>
  <c r="L296" i="1" s="1"/>
  <c r="M296" i="1" s="1"/>
  <c r="I296" i="1"/>
  <c r="K295" i="1"/>
  <c r="I295" i="1"/>
  <c r="K294" i="1"/>
  <c r="I294" i="1"/>
  <c r="K293" i="1"/>
  <c r="I293" i="1"/>
  <c r="K292" i="1"/>
  <c r="L292" i="1" s="1"/>
  <c r="M292" i="1" s="1"/>
  <c r="I292" i="1"/>
  <c r="K291" i="1"/>
  <c r="I291" i="1"/>
  <c r="K290" i="1"/>
  <c r="I290" i="1"/>
  <c r="K289" i="1"/>
  <c r="I289" i="1"/>
  <c r="K288" i="1"/>
  <c r="I288" i="1"/>
  <c r="K287" i="1"/>
  <c r="I287" i="1"/>
  <c r="K286" i="1"/>
  <c r="I286" i="1"/>
  <c r="K285" i="1"/>
  <c r="I285" i="1"/>
  <c r="K284" i="1"/>
  <c r="L284" i="1" s="1"/>
  <c r="M284" i="1" s="1"/>
  <c r="I284" i="1"/>
  <c r="K283" i="1"/>
  <c r="I283" i="1"/>
  <c r="K282" i="1"/>
  <c r="I282" i="1"/>
  <c r="K281" i="1"/>
  <c r="I281" i="1"/>
  <c r="K280" i="1"/>
  <c r="L280" i="1" s="1"/>
  <c r="M280" i="1" s="1"/>
  <c r="I280" i="1"/>
  <c r="K279" i="1"/>
  <c r="I279" i="1"/>
  <c r="K278" i="1"/>
  <c r="I278" i="1"/>
  <c r="K277" i="1"/>
  <c r="I277" i="1"/>
  <c r="K276" i="1"/>
  <c r="I276" i="1"/>
  <c r="K275" i="1"/>
  <c r="I275" i="1"/>
  <c r="K274" i="1"/>
  <c r="I274" i="1"/>
  <c r="L274" i="1" s="1"/>
  <c r="M274" i="1" s="1"/>
  <c r="K273" i="1"/>
  <c r="I273" i="1"/>
  <c r="K272" i="1"/>
  <c r="I272" i="1"/>
  <c r="K271" i="1"/>
  <c r="I271" i="1"/>
  <c r="L271" i="1" s="1"/>
  <c r="K270" i="1"/>
  <c r="I270" i="1"/>
  <c r="L270" i="1" s="1"/>
  <c r="M270" i="1" s="1"/>
  <c r="K269" i="1"/>
  <c r="I269" i="1"/>
  <c r="K268" i="1"/>
  <c r="I268" i="1"/>
  <c r="K267" i="1"/>
  <c r="I267" i="1"/>
  <c r="K266" i="1"/>
  <c r="I266" i="1"/>
  <c r="K265" i="1"/>
  <c r="I265" i="1"/>
  <c r="K264" i="1"/>
  <c r="I264" i="1"/>
  <c r="K263" i="1"/>
  <c r="I263" i="1"/>
  <c r="K262" i="1"/>
  <c r="I262" i="1"/>
  <c r="K261" i="1"/>
  <c r="I261" i="1"/>
  <c r="K260" i="1"/>
  <c r="L260" i="1" s="1"/>
  <c r="M260" i="1" s="1"/>
  <c r="I260" i="1"/>
  <c r="K259" i="1"/>
  <c r="I259" i="1"/>
  <c r="K258" i="1"/>
  <c r="I258" i="1"/>
  <c r="K257" i="1"/>
  <c r="I257" i="1"/>
  <c r="K256" i="1"/>
  <c r="L256" i="1" s="1"/>
  <c r="M256" i="1" s="1"/>
  <c r="I256" i="1"/>
  <c r="K255" i="1"/>
  <c r="I255" i="1"/>
  <c r="K254" i="1"/>
  <c r="I254" i="1"/>
  <c r="K253" i="1"/>
  <c r="I253" i="1"/>
  <c r="K252" i="1"/>
  <c r="I252" i="1"/>
  <c r="K251" i="1"/>
  <c r="I251" i="1"/>
  <c r="K250" i="1"/>
  <c r="I250" i="1"/>
  <c r="K249" i="1"/>
  <c r="I249" i="1"/>
  <c r="K248" i="1"/>
  <c r="L248" i="1" s="1"/>
  <c r="M248" i="1" s="1"/>
  <c r="I248" i="1"/>
  <c r="K247" i="1"/>
  <c r="I247" i="1"/>
  <c r="K246" i="1"/>
  <c r="I246" i="1"/>
  <c r="K245" i="1"/>
  <c r="I245" i="1"/>
  <c r="K244" i="1"/>
  <c r="L244" i="1" s="1"/>
  <c r="M244" i="1" s="1"/>
  <c r="I244" i="1"/>
  <c r="K243" i="1"/>
  <c r="I243" i="1"/>
  <c r="K242" i="1"/>
  <c r="I242" i="1"/>
  <c r="K241" i="1"/>
  <c r="I241" i="1"/>
  <c r="K240" i="1"/>
  <c r="L240" i="1" s="1"/>
  <c r="M240" i="1" s="1"/>
  <c r="I240" i="1"/>
  <c r="K239" i="1"/>
  <c r="I239" i="1"/>
  <c r="K238" i="1"/>
  <c r="I238" i="1"/>
  <c r="L238" i="1" s="1"/>
  <c r="M238" i="1" s="1"/>
  <c r="K237" i="1"/>
  <c r="I237" i="1"/>
  <c r="K236" i="1"/>
  <c r="I236" i="1"/>
  <c r="K235" i="1"/>
  <c r="I235" i="1"/>
  <c r="L235" i="1" s="1"/>
  <c r="K234" i="1"/>
  <c r="I234" i="1"/>
  <c r="K233" i="1"/>
  <c r="I233" i="1"/>
  <c r="K232" i="1"/>
  <c r="I232" i="1"/>
  <c r="K231" i="1"/>
  <c r="I231" i="1"/>
  <c r="K230" i="1"/>
  <c r="I230" i="1"/>
  <c r="K229" i="1"/>
  <c r="I229" i="1"/>
  <c r="K228" i="1"/>
  <c r="I228" i="1"/>
  <c r="K227" i="1"/>
  <c r="I227" i="1"/>
  <c r="K226" i="1"/>
  <c r="I226" i="1"/>
  <c r="K225" i="1"/>
  <c r="I225" i="1"/>
  <c r="K224" i="1"/>
  <c r="I224" i="1"/>
  <c r="K223" i="1"/>
  <c r="I223" i="1"/>
  <c r="K222" i="1"/>
  <c r="I222" i="1"/>
  <c r="K221" i="1"/>
  <c r="I221" i="1"/>
  <c r="K220" i="1"/>
  <c r="I220" i="1"/>
  <c r="K219" i="1"/>
  <c r="I219" i="1"/>
  <c r="K218" i="1"/>
  <c r="I218" i="1"/>
  <c r="K217" i="1"/>
  <c r="I217" i="1"/>
  <c r="K216" i="1"/>
  <c r="I216" i="1"/>
  <c r="K215" i="1"/>
  <c r="I215" i="1"/>
  <c r="L215" i="1" s="1"/>
  <c r="K214" i="1"/>
  <c r="I214" i="1"/>
  <c r="K213" i="1"/>
  <c r="I213" i="1"/>
  <c r="K212" i="1"/>
  <c r="L212" i="1" s="1"/>
  <c r="M212" i="1" s="1"/>
  <c r="I212" i="1"/>
  <c r="K211" i="1"/>
  <c r="I211" i="1"/>
  <c r="K210" i="1"/>
  <c r="I210" i="1"/>
  <c r="K209" i="1"/>
  <c r="I209" i="1"/>
  <c r="K208" i="1"/>
  <c r="L208" i="1" s="1"/>
  <c r="M208" i="1" s="1"/>
  <c r="I208" i="1"/>
  <c r="K207" i="1"/>
  <c r="I207" i="1"/>
  <c r="L207" i="1" s="1"/>
  <c r="K206" i="1"/>
  <c r="I206" i="1"/>
  <c r="K205" i="1"/>
  <c r="I205" i="1"/>
  <c r="K204" i="1"/>
  <c r="L204" i="1" s="1"/>
  <c r="M204" i="1" s="1"/>
  <c r="I204" i="1"/>
  <c r="K203" i="1"/>
  <c r="I203" i="1"/>
  <c r="K202" i="1"/>
  <c r="I202" i="1"/>
  <c r="K201" i="1"/>
  <c r="I201" i="1"/>
  <c r="K200" i="1"/>
  <c r="I200" i="1"/>
  <c r="K199" i="1"/>
  <c r="I199" i="1"/>
  <c r="K198" i="1"/>
  <c r="I198" i="1"/>
  <c r="K197" i="1"/>
  <c r="I197" i="1"/>
  <c r="K196" i="1"/>
  <c r="L196" i="1" s="1"/>
  <c r="M196" i="1" s="1"/>
  <c r="I196" i="1"/>
  <c r="K195" i="1"/>
  <c r="I195" i="1"/>
  <c r="K194" i="1"/>
  <c r="I194" i="1"/>
  <c r="K193" i="1"/>
  <c r="I193" i="1"/>
  <c r="K192" i="1"/>
  <c r="I192" i="1"/>
  <c r="K191" i="1"/>
  <c r="I191" i="1"/>
  <c r="K190" i="1"/>
  <c r="I190" i="1"/>
  <c r="K189" i="1"/>
  <c r="I189" i="1"/>
  <c r="K188" i="1"/>
  <c r="I188" i="1"/>
  <c r="K187" i="1"/>
  <c r="I187" i="1"/>
  <c r="K186" i="1"/>
  <c r="I186" i="1"/>
  <c r="L186" i="1" s="1"/>
  <c r="M186" i="1" s="1"/>
  <c r="K185" i="1"/>
  <c r="I185" i="1"/>
  <c r="K184" i="1"/>
  <c r="I184" i="1"/>
  <c r="K183" i="1"/>
  <c r="I183" i="1"/>
  <c r="K182" i="1"/>
  <c r="I182" i="1"/>
  <c r="K181" i="1"/>
  <c r="I181" i="1"/>
  <c r="K180" i="1"/>
  <c r="I180" i="1"/>
  <c r="K179" i="1"/>
  <c r="I179" i="1"/>
  <c r="K178" i="1"/>
  <c r="I178" i="1"/>
  <c r="K177" i="1"/>
  <c r="I177" i="1"/>
  <c r="K176" i="1"/>
  <c r="I176" i="1"/>
  <c r="K175" i="1"/>
  <c r="I175" i="1"/>
  <c r="K174" i="1"/>
  <c r="I174" i="1"/>
  <c r="K173" i="1"/>
  <c r="I173" i="1"/>
  <c r="K172" i="1"/>
  <c r="I172" i="1"/>
  <c r="K171" i="1"/>
  <c r="I171" i="1"/>
  <c r="K170" i="1"/>
  <c r="I170" i="1"/>
  <c r="K169" i="1"/>
  <c r="I169" i="1"/>
  <c r="K168" i="1"/>
  <c r="I168" i="1"/>
  <c r="K167" i="1"/>
  <c r="I167" i="1"/>
  <c r="K166" i="1"/>
  <c r="I166" i="1"/>
  <c r="K165" i="1"/>
  <c r="I165" i="1"/>
  <c r="K164" i="1"/>
  <c r="I164" i="1"/>
  <c r="K163" i="1"/>
  <c r="I163" i="1"/>
  <c r="K162" i="1"/>
  <c r="I162" i="1"/>
  <c r="K161" i="1"/>
  <c r="I161" i="1"/>
  <c r="K160" i="1"/>
  <c r="I160" i="1"/>
  <c r="K159" i="1"/>
  <c r="I159" i="1"/>
  <c r="K158" i="1"/>
  <c r="I158" i="1"/>
  <c r="L158" i="1" s="1"/>
  <c r="M158" i="1" s="1"/>
  <c r="K157" i="1"/>
  <c r="I157" i="1"/>
  <c r="K156" i="1"/>
  <c r="I156" i="1"/>
  <c r="K155" i="1"/>
  <c r="I155" i="1"/>
  <c r="K154" i="1"/>
  <c r="I154" i="1"/>
  <c r="K153" i="1"/>
  <c r="L153" i="1" s="1"/>
  <c r="M153" i="1" s="1"/>
  <c r="I153" i="1"/>
  <c r="K152" i="1"/>
  <c r="I152" i="1"/>
  <c r="K151" i="1"/>
  <c r="I151" i="1"/>
  <c r="K150" i="1"/>
  <c r="I150" i="1"/>
  <c r="K149" i="1"/>
  <c r="I149" i="1"/>
  <c r="K148" i="1"/>
  <c r="I148" i="1"/>
  <c r="K147" i="1"/>
  <c r="I147" i="1"/>
  <c r="K146" i="1"/>
  <c r="I146" i="1"/>
  <c r="K145" i="1"/>
  <c r="I145" i="1"/>
  <c r="K144" i="1"/>
  <c r="I144" i="1"/>
  <c r="K143" i="1"/>
  <c r="I143" i="1"/>
  <c r="K142" i="1"/>
  <c r="I142" i="1"/>
  <c r="K141" i="1"/>
  <c r="L141" i="1" s="1"/>
  <c r="M141" i="1" s="1"/>
  <c r="I141" i="1"/>
  <c r="K140" i="1"/>
  <c r="I140" i="1"/>
  <c r="K139" i="1"/>
  <c r="I139" i="1"/>
  <c r="K138" i="1"/>
  <c r="I138" i="1"/>
  <c r="K137" i="1"/>
  <c r="L137" i="1" s="1"/>
  <c r="M137" i="1" s="1"/>
  <c r="I137" i="1"/>
  <c r="K136" i="1"/>
  <c r="I136" i="1"/>
  <c r="K135" i="1"/>
  <c r="I135" i="1"/>
  <c r="K134" i="1"/>
  <c r="I134" i="1"/>
  <c r="K133" i="1"/>
  <c r="I133" i="1"/>
  <c r="K132" i="1"/>
  <c r="L132" i="1" s="1"/>
  <c r="M132" i="1" s="1"/>
  <c r="I132" i="1"/>
  <c r="K131" i="1"/>
  <c r="I131" i="1"/>
  <c r="L131" i="1" s="1"/>
  <c r="K130" i="1"/>
  <c r="I130" i="1"/>
  <c r="K129" i="1"/>
  <c r="I129" i="1"/>
  <c r="K128" i="1"/>
  <c r="L128" i="1" s="1"/>
  <c r="M128" i="1" s="1"/>
  <c r="I128" i="1"/>
  <c r="K127" i="1"/>
  <c r="I127" i="1"/>
  <c r="K126" i="1"/>
  <c r="I126" i="1"/>
  <c r="K125" i="1"/>
  <c r="I125" i="1"/>
  <c r="K124" i="1"/>
  <c r="I124" i="1"/>
  <c r="K123" i="1"/>
  <c r="I123" i="1"/>
  <c r="K122" i="1"/>
  <c r="I122" i="1"/>
  <c r="K121" i="1"/>
  <c r="I121" i="1"/>
  <c r="K120" i="1"/>
  <c r="I120" i="1"/>
  <c r="K119" i="1"/>
  <c r="I119" i="1"/>
  <c r="K118" i="1"/>
  <c r="I118" i="1"/>
  <c r="K117" i="1"/>
  <c r="I117" i="1"/>
  <c r="K116" i="1"/>
  <c r="I116" i="1"/>
  <c r="K115" i="1"/>
  <c r="I115" i="1"/>
  <c r="K114" i="1"/>
  <c r="I114" i="1"/>
  <c r="K113" i="1"/>
  <c r="I113" i="1"/>
  <c r="K112" i="1"/>
  <c r="I112" i="1"/>
  <c r="K111" i="1"/>
  <c r="L111" i="1" s="1"/>
  <c r="I111" i="1"/>
  <c r="K110" i="1"/>
  <c r="I110" i="1"/>
  <c r="K109" i="1"/>
  <c r="I109" i="1"/>
  <c r="K108" i="1"/>
  <c r="I108" i="1"/>
  <c r="K107" i="1"/>
  <c r="L107" i="1" s="1"/>
  <c r="I107" i="1"/>
  <c r="K106" i="1"/>
  <c r="I106" i="1"/>
  <c r="K105" i="1"/>
  <c r="I105" i="1"/>
  <c r="K104" i="1"/>
  <c r="I104" i="1"/>
  <c r="K103" i="1"/>
  <c r="I103" i="1"/>
  <c r="K102" i="1"/>
  <c r="I102" i="1"/>
  <c r="L102" i="1" s="1"/>
  <c r="M102" i="1" s="1"/>
  <c r="K101" i="1"/>
  <c r="I101" i="1"/>
  <c r="K100" i="1"/>
  <c r="I100" i="1"/>
  <c r="K99" i="1"/>
  <c r="I99" i="1"/>
  <c r="K98" i="1"/>
  <c r="I98" i="1"/>
  <c r="K97" i="1"/>
  <c r="I97" i="1"/>
  <c r="K96" i="1"/>
  <c r="I96" i="1"/>
  <c r="K95" i="1"/>
  <c r="L95" i="1" s="1"/>
  <c r="I95" i="1"/>
  <c r="K94" i="1"/>
  <c r="I94" i="1"/>
  <c r="K93" i="1"/>
  <c r="I93" i="1"/>
  <c r="K92" i="1"/>
  <c r="I92" i="1"/>
  <c r="K91" i="1"/>
  <c r="I91" i="1"/>
  <c r="K90" i="1"/>
  <c r="I90" i="1"/>
  <c r="K89" i="1"/>
  <c r="I89" i="1"/>
  <c r="K88" i="1"/>
  <c r="I88" i="1"/>
  <c r="K87" i="1"/>
  <c r="I87" i="1"/>
  <c r="K86" i="1"/>
  <c r="I86" i="1"/>
  <c r="K85" i="1"/>
  <c r="I85" i="1"/>
  <c r="K84" i="1"/>
  <c r="I84" i="1"/>
  <c r="K83" i="1"/>
  <c r="I83" i="1"/>
  <c r="K82" i="1"/>
  <c r="I82" i="1"/>
  <c r="K81" i="1"/>
  <c r="I81" i="1"/>
  <c r="K80" i="1"/>
  <c r="I80" i="1"/>
  <c r="K79" i="1"/>
  <c r="I79" i="1"/>
  <c r="K78" i="1"/>
  <c r="I78" i="1"/>
  <c r="K77" i="1"/>
  <c r="I77" i="1"/>
  <c r="K76" i="1"/>
  <c r="I76" i="1"/>
  <c r="K75" i="1"/>
  <c r="I75" i="1"/>
  <c r="K74" i="1"/>
  <c r="I74" i="1"/>
  <c r="K73" i="1"/>
  <c r="I73" i="1"/>
  <c r="K72" i="1"/>
  <c r="I72" i="1"/>
  <c r="K71" i="1"/>
  <c r="I71" i="1"/>
  <c r="K70" i="1"/>
  <c r="I70" i="1"/>
  <c r="K69" i="1"/>
  <c r="I69" i="1"/>
  <c r="K68" i="1"/>
  <c r="L68" i="1" s="1"/>
  <c r="I68" i="1"/>
  <c r="K67" i="1"/>
  <c r="I67" i="1"/>
  <c r="K66" i="1"/>
  <c r="I66" i="1"/>
  <c r="K65" i="1"/>
  <c r="L65" i="1" s="1"/>
  <c r="M65" i="1" s="1"/>
  <c r="I65" i="1"/>
  <c r="K64" i="1"/>
  <c r="L64" i="1" s="1"/>
  <c r="I64" i="1"/>
  <c r="K63" i="1"/>
  <c r="I63" i="1"/>
  <c r="K62" i="1"/>
  <c r="I62" i="1"/>
  <c r="K61" i="1"/>
  <c r="L61" i="1" s="1"/>
  <c r="M61" i="1" s="1"/>
  <c r="I61" i="1"/>
  <c r="K60" i="1"/>
  <c r="I60" i="1"/>
  <c r="K59" i="1"/>
  <c r="I59" i="1"/>
  <c r="K58" i="1"/>
  <c r="I58" i="1"/>
  <c r="K57" i="1"/>
  <c r="I57" i="1"/>
  <c r="K56" i="1"/>
  <c r="I56" i="1"/>
  <c r="K55" i="1"/>
  <c r="I55" i="1"/>
  <c r="K54" i="1"/>
  <c r="I54" i="1"/>
  <c r="K53" i="1"/>
  <c r="I53" i="1"/>
  <c r="K52" i="1"/>
  <c r="I52" i="1"/>
  <c r="K51" i="1"/>
  <c r="L51" i="1" s="1"/>
  <c r="I51" i="1"/>
  <c r="K50" i="1"/>
  <c r="I50" i="1"/>
  <c r="K49" i="1"/>
  <c r="I49" i="1"/>
  <c r="K48" i="1"/>
  <c r="I48" i="1"/>
  <c r="K47" i="1"/>
  <c r="I47" i="1"/>
  <c r="K46" i="1"/>
  <c r="I46" i="1"/>
  <c r="K45" i="1"/>
  <c r="I45" i="1"/>
  <c r="K44" i="1"/>
  <c r="I44" i="1"/>
  <c r="K43" i="1"/>
  <c r="I43" i="1"/>
  <c r="K42" i="1"/>
  <c r="I42" i="1"/>
  <c r="K41" i="1"/>
  <c r="I41" i="1"/>
  <c r="K40" i="1"/>
  <c r="L40" i="1" s="1"/>
  <c r="I40" i="1"/>
  <c r="K39" i="1"/>
  <c r="I39" i="1"/>
  <c r="K38" i="1"/>
  <c r="I38" i="1"/>
  <c r="K37" i="1"/>
  <c r="I37" i="1"/>
  <c r="K36" i="1"/>
  <c r="I36" i="1"/>
  <c r="K35" i="1"/>
  <c r="I35" i="1"/>
  <c r="K34" i="1"/>
  <c r="I34" i="1"/>
  <c r="K33" i="1"/>
  <c r="I33" i="1"/>
  <c r="K32" i="1"/>
  <c r="I32" i="1"/>
  <c r="K31" i="1"/>
  <c r="I31" i="1"/>
  <c r="K30" i="1"/>
  <c r="I30" i="1"/>
  <c r="K29" i="1"/>
  <c r="I29" i="1"/>
  <c r="K28" i="1"/>
  <c r="I28" i="1"/>
  <c r="K27" i="1"/>
  <c r="L27" i="1" s="1"/>
  <c r="M27" i="1" s="1"/>
  <c r="I27" i="1"/>
  <c r="K26" i="1"/>
  <c r="I26" i="1"/>
  <c r="K25" i="1"/>
  <c r="I25" i="1"/>
  <c r="K24" i="1"/>
  <c r="I24" i="1"/>
  <c r="K23" i="1"/>
  <c r="L23" i="1" s="1"/>
  <c r="M23" i="1" s="1"/>
  <c r="I23" i="1"/>
  <c r="K22" i="1"/>
  <c r="I22" i="1"/>
  <c r="K21" i="1"/>
  <c r="I21" i="1"/>
  <c r="K20" i="1"/>
  <c r="I20" i="1"/>
  <c r="K19" i="1"/>
  <c r="I19" i="1"/>
  <c r="K18" i="1"/>
  <c r="I18" i="1"/>
  <c r="K17" i="1"/>
  <c r="I17" i="1"/>
  <c r="K16" i="1"/>
  <c r="I16" i="1"/>
  <c r="K15" i="1"/>
  <c r="I15" i="1"/>
  <c r="K14" i="1"/>
  <c r="I14" i="1"/>
  <c r="K13" i="1"/>
  <c r="I13" i="1"/>
  <c r="K12" i="1"/>
  <c r="I12" i="1"/>
  <c r="K11" i="1"/>
  <c r="L11" i="1" s="1"/>
  <c r="M11" i="1" s="1"/>
  <c r="I11" i="1"/>
  <c r="K10" i="1"/>
  <c r="I10" i="1"/>
  <c r="K9" i="1"/>
  <c r="I9" i="1"/>
  <c r="K8" i="1"/>
  <c r="I8" i="1"/>
  <c r="K7" i="1"/>
  <c r="L7" i="1" s="1"/>
  <c r="M7" i="1" s="1"/>
  <c r="I7" i="1"/>
  <c r="K6" i="1"/>
  <c r="I6" i="1"/>
  <c r="K5" i="1"/>
  <c r="I5" i="1"/>
  <c r="K4" i="1"/>
  <c r="I4" i="1"/>
  <c r="L3" i="1"/>
  <c r="M3" i="1" s="1"/>
  <c r="K3" i="1"/>
  <c r="I3" i="1"/>
  <c r="K2" i="1"/>
  <c r="I2" i="1"/>
  <c r="L193" i="1" l="1"/>
  <c r="P274" i="1"/>
  <c r="L18" i="1"/>
  <c r="L78" i="1"/>
  <c r="M78" i="1" s="1"/>
  <c r="L86" i="1"/>
  <c r="M86" i="1" s="1"/>
  <c r="L90" i="1"/>
  <c r="L282" i="1"/>
  <c r="L290" i="1"/>
  <c r="L294" i="1"/>
  <c r="L334" i="1"/>
  <c r="L342" i="1"/>
  <c r="L346" i="1"/>
  <c r="L354" i="1"/>
  <c r="L358" i="1"/>
  <c r="M358" i="1" s="1"/>
  <c r="L362" i="1"/>
  <c r="M362" i="1" s="1"/>
  <c r="L390" i="1"/>
  <c r="M390" i="1" s="1"/>
  <c r="P369" i="1"/>
  <c r="P186" i="1"/>
  <c r="L75" i="1"/>
  <c r="M75" i="1" s="1"/>
  <c r="P153" i="1"/>
  <c r="L35" i="1"/>
  <c r="P137" i="1"/>
  <c r="L112" i="1"/>
  <c r="M112" i="1" s="1"/>
  <c r="P345" i="1"/>
  <c r="L92" i="1"/>
  <c r="L300" i="1"/>
  <c r="M300" i="1" s="1"/>
  <c r="L320" i="1"/>
  <c r="M320" i="1" s="1"/>
  <c r="L324" i="1"/>
  <c r="M324" i="1" s="1"/>
  <c r="L372" i="1"/>
  <c r="M372" i="1" s="1"/>
  <c r="L384" i="1"/>
  <c r="M384" i="1" s="1"/>
  <c r="L388" i="1"/>
  <c r="M388" i="1" s="1"/>
  <c r="L392" i="1"/>
  <c r="M392" i="1" s="1"/>
  <c r="L396" i="1"/>
  <c r="M396" i="1" s="1"/>
  <c r="P65" i="1"/>
  <c r="M294" i="1"/>
  <c r="P294" i="1"/>
  <c r="M334" i="1"/>
  <c r="P334" i="1"/>
  <c r="M342" i="1"/>
  <c r="P342" i="1"/>
  <c r="M64" i="1"/>
  <c r="P64" i="1"/>
  <c r="L33" i="1"/>
  <c r="M131" i="1"/>
  <c r="P131" i="1"/>
  <c r="M215" i="1"/>
  <c r="P215" i="1"/>
  <c r="M235" i="1"/>
  <c r="P235" i="1"/>
  <c r="M271" i="1"/>
  <c r="P271" i="1"/>
  <c r="L21" i="1"/>
  <c r="M107" i="1"/>
  <c r="P107" i="1"/>
  <c r="L143" i="1"/>
  <c r="L151" i="1"/>
  <c r="L159" i="1"/>
  <c r="L171" i="1"/>
  <c r="L187" i="1"/>
  <c r="L191" i="1"/>
  <c r="L251" i="1"/>
  <c r="L255" i="1"/>
  <c r="L263" i="1"/>
  <c r="L267" i="1"/>
  <c r="L279" i="1"/>
  <c r="M40" i="1"/>
  <c r="P40" i="1"/>
  <c r="M68" i="1"/>
  <c r="P68" i="1"/>
  <c r="M92" i="1"/>
  <c r="P92" i="1"/>
  <c r="L29" i="1"/>
  <c r="M207" i="1"/>
  <c r="P207" i="1"/>
  <c r="M35" i="1"/>
  <c r="P35" i="1"/>
  <c r="M51" i="1"/>
  <c r="P51" i="1"/>
  <c r="M95" i="1"/>
  <c r="P95" i="1"/>
  <c r="M111" i="1"/>
  <c r="P111" i="1"/>
  <c r="L139" i="1"/>
  <c r="L147" i="1"/>
  <c r="L179" i="1"/>
  <c r="L84" i="1"/>
  <c r="L2" i="1"/>
  <c r="L45" i="1"/>
  <c r="L104" i="1"/>
  <c r="L148" i="1"/>
  <c r="L188" i="1"/>
  <c r="L228" i="1"/>
  <c r="L283" i="1"/>
  <c r="L287" i="1"/>
  <c r="L303" i="1"/>
  <c r="L307" i="1"/>
  <c r="L315" i="1"/>
  <c r="L319" i="1"/>
  <c r="L343" i="1"/>
  <c r="L347" i="1"/>
  <c r="L351" i="1"/>
  <c r="L363" i="1"/>
  <c r="L367" i="1"/>
  <c r="P400" i="1"/>
  <c r="P392" i="1"/>
  <c r="P320" i="1"/>
  <c r="P296" i="1"/>
  <c r="P280" i="1"/>
  <c r="P256" i="1"/>
  <c r="P248" i="1"/>
  <c r="P240" i="1"/>
  <c r="P208" i="1"/>
  <c r="P128" i="1"/>
  <c r="L340" i="1"/>
  <c r="L368" i="1"/>
  <c r="P23" i="1"/>
  <c r="P7" i="1"/>
  <c r="L19" i="1"/>
  <c r="L42" i="1"/>
  <c r="L50" i="1"/>
  <c r="P270" i="1"/>
  <c r="P238" i="1"/>
  <c r="P158" i="1"/>
  <c r="P102" i="1"/>
  <c r="P86" i="1"/>
  <c r="P78" i="1"/>
  <c r="L201" i="1"/>
  <c r="L245" i="1"/>
  <c r="L269" i="1"/>
  <c r="L277" i="1"/>
  <c r="P381" i="1"/>
  <c r="P373" i="1"/>
  <c r="P141" i="1"/>
  <c r="P61" i="1"/>
  <c r="L39" i="1"/>
  <c r="L47" i="1"/>
  <c r="L389" i="1"/>
  <c r="L393" i="1"/>
  <c r="P396" i="1"/>
  <c r="P372" i="1"/>
  <c r="P324" i="1"/>
  <c r="P300" i="1"/>
  <c r="P292" i="1"/>
  <c r="P284" i="1"/>
  <c r="P260" i="1"/>
  <c r="P244" i="1"/>
  <c r="P212" i="1"/>
  <c r="P204" i="1"/>
  <c r="P196" i="1"/>
  <c r="P132" i="1"/>
  <c r="L43" i="1"/>
  <c r="L24" i="1"/>
  <c r="L55" i="1"/>
  <c r="L59" i="1"/>
  <c r="L142" i="1"/>
  <c r="L154" i="1"/>
  <c r="L202" i="1"/>
  <c r="L206" i="1"/>
  <c r="L218" i="1"/>
  <c r="L230" i="1"/>
  <c r="L234" i="1"/>
  <c r="L401" i="1"/>
  <c r="P75" i="1"/>
  <c r="P27" i="1"/>
  <c r="P11" i="1"/>
  <c r="P3" i="1"/>
  <c r="L22" i="1"/>
  <c r="L37" i="1"/>
  <c r="L48" i="1"/>
  <c r="L258" i="1"/>
  <c r="L266" i="1"/>
  <c r="L289" i="1"/>
  <c r="L297" i="1"/>
  <c r="L336" i="1"/>
  <c r="L344" i="1"/>
  <c r="L348" i="1"/>
  <c r="L375" i="1"/>
  <c r="L8" i="1"/>
  <c r="L15" i="1"/>
  <c r="L34" i="1"/>
  <c r="L56" i="1"/>
  <c r="L91" i="1"/>
  <c r="L156" i="1"/>
  <c r="L160" i="1"/>
  <c r="L164" i="1"/>
  <c r="L176" i="1"/>
  <c r="L180" i="1"/>
  <c r="L184" i="1"/>
  <c r="L200" i="1"/>
  <c r="L223" i="1"/>
  <c r="L231" i="1"/>
  <c r="L247" i="1"/>
  <c r="L259" i="1"/>
  <c r="L286" i="1"/>
  <c r="L364" i="1"/>
  <c r="L376" i="1"/>
  <c r="L63" i="1"/>
  <c r="L105" i="1"/>
  <c r="L26" i="1"/>
  <c r="L144" i="1"/>
  <c r="L211" i="1"/>
  <c r="L5" i="1"/>
  <c r="L16" i="1"/>
  <c r="L31" i="1"/>
  <c r="L53" i="1"/>
  <c r="L88" i="1"/>
  <c r="L99" i="1"/>
  <c r="L103" i="1"/>
  <c r="L114" i="1"/>
  <c r="L118" i="1"/>
  <c r="L122" i="1"/>
  <c r="L126" i="1"/>
  <c r="L130" i="1"/>
  <c r="L134" i="1"/>
  <c r="L146" i="1"/>
  <c r="L169" i="1"/>
  <c r="L220" i="1"/>
  <c r="L264" i="1"/>
  <c r="L326" i="1"/>
  <c r="L365" i="1"/>
  <c r="L10" i="1"/>
  <c r="L13" i="1"/>
  <c r="L32" i="1"/>
  <c r="L54" i="1"/>
  <c r="L58" i="1"/>
  <c r="L89" i="1"/>
  <c r="L108" i="1"/>
  <c r="L115" i="1"/>
  <c r="L162" i="1"/>
  <c r="L166" i="1"/>
  <c r="L170" i="1"/>
  <c r="L174" i="1"/>
  <c r="L190" i="1"/>
  <c r="L210" i="1"/>
  <c r="L225" i="1"/>
  <c r="L272" i="1"/>
  <c r="L276" i="1"/>
  <c r="L316" i="1"/>
  <c r="L331" i="1"/>
  <c r="L366" i="1"/>
  <c r="L378" i="1"/>
  <c r="L124" i="1"/>
  <c r="L167" i="1"/>
  <c r="L222" i="1"/>
  <c r="L6" i="1"/>
  <c r="L49" i="1"/>
  <c r="L87" i="1"/>
  <c r="L17" i="1"/>
  <c r="L203" i="1"/>
  <c r="L250" i="1"/>
  <c r="L14" i="1"/>
  <c r="L25" i="1"/>
  <c r="L46" i="1"/>
  <c r="L57" i="1"/>
  <c r="L76" i="1"/>
  <c r="L80" i="1"/>
  <c r="L110" i="1"/>
  <c r="L302" i="1"/>
  <c r="L380" i="1"/>
  <c r="L38" i="1"/>
  <c r="L116" i="1"/>
  <c r="L9" i="1"/>
  <c r="L30" i="1"/>
  <c r="L41" i="1"/>
  <c r="L62" i="1"/>
  <c r="L100" i="1"/>
  <c r="L127" i="1"/>
  <c r="L120" i="1"/>
  <c r="L181" i="1"/>
  <c r="L219" i="1"/>
  <c r="L239" i="1"/>
  <c r="L246" i="1"/>
  <c r="L281" i="1"/>
  <c r="L298" i="1"/>
  <c r="L321" i="1"/>
  <c r="L332" i="1"/>
  <c r="L377" i="1"/>
  <c r="L96" i="1"/>
  <c r="L161" i="1"/>
  <c r="L257" i="1"/>
  <c r="L310" i="1"/>
  <c r="L318" i="1"/>
  <c r="L353" i="1"/>
  <c r="L361" i="1"/>
  <c r="L394" i="1"/>
  <c r="L4" i="1"/>
  <c r="L28" i="1"/>
  <c r="L36" i="1"/>
  <c r="L44" i="1"/>
  <c r="L52" i="1"/>
  <c r="L60" i="1"/>
  <c r="L66" i="1"/>
  <c r="L77" i="1"/>
  <c r="L113" i="1"/>
  <c r="L117" i="1"/>
  <c r="L135" i="1"/>
  <c r="L152" i="1"/>
  <c r="L155" i="1"/>
  <c r="L168" i="1"/>
  <c r="L172" i="1"/>
  <c r="L175" i="1"/>
  <c r="L178" i="1"/>
  <c r="L182" i="1"/>
  <c r="L217" i="1"/>
  <c r="L233" i="1"/>
  <c r="L243" i="1"/>
  <c r="L254" i="1"/>
  <c r="L265" i="1"/>
  <c r="L275" i="1"/>
  <c r="L288" i="1"/>
  <c r="L295" i="1"/>
  <c r="L299" i="1"/>
  <c r="L311" i="1"/>
  <c r="L322" i="1"/>
  <c r="L333" i="1"/>
  <c r="L350" i="1"/>
  <c r="L371" i="1"/>
  <c r="L398" i="1"/>
  <c r="L106" i="1"/>
  <c r="L123" i="1"/>
  <c r="L138" i="1"/>
  <c r="L177" i="1"/>
  <c r="L199" i="1"/>
  <c r="L216" i="1"/>
  <c r="L232" i="1"/>
  <c r="L242" i="1"/>
  <c r="L291" i="1"/>
  <c r="L349" i="1"/>
  <c r="L370" i="1"/>
  <c r="L387" i="1"/>
  <c r="L73" i="1"/>
  <c r="L83" i="1"/>
  <c r="L192" i="1"/>
  <c r="L213" i="1"/>
  <c r="L226" i="1"/>
  <c r="L236" i="1"/>
  <c r="L268" i="1"/>
  <c r="L278" i="1"/>
  <c r="L306" i="1"/>
  <c r="L314" i="1"/>
  <c r="L329" i="1"/>
  <c r="L339" i="1"/>
  <c r="L357" i="1"/>
  <c r="L374" i="1"/>
  <c r="L12" i="1"/>
  <c r="L20" i="1"/>
  <c r="L67" i="1"/>
  <c r="L70" i="1"/>
  <c r="L74" i="1"/>
  <c r="L94" i="1"/>
  <c r="L97" i="1"/>
  <c r="L136" i="1"/>
  <c r="L149" i="1"/>
  <c r="L183" i="1"/>
  <c r="L214" i="1"/>
  <c r="L227" i="1"/>
  <c r="L262" i="1"/>
  <c r="L323" i="1"/>
  <c r="L330" i="1"/>
  <c r="L395" i="1"/>
  <c r="L385" i="1"/>
  <c r="L71" i="1"/>
  <c r="L85" i="1"/>
  <c r="L98" i="1"/>
  <c r="L119" i="1"/>
  <c r="L129" i="1"/>
  <c r="L140" i="1"/>
  <c r="L150" i="1"/>
  <c r="L163" i="1"/>
  <c r="L194" i="1"/>
  <c r="L198" i="1"/>
  <c r="L205" i="1"/>
  <c r="L224" i="1"/>
  <c r="L252" i="1"/>
  <c r="L304" i="1"/>
  <c r="L308" i="1"/>
  <c r="L312" i="1"/>
  <c r="L327" i="1"/>
  <c r="L341" i="1"/>
  <c r="L355" i="1"/>
  <c r="L359" i="1"/>
  <c r="L382" i="1"/>
  <c r="L386" i="1"/>
  <c r="L72" i="1"/>
  <c r="L79" i="1"/>
  <c r="L82" i="1"/>
  <c r="L195" i="1"/>
  <c r="L328" i="1"/>
  <c r="L335" i="1"/>
  <c r="L338" i="1"/>
  <c r="L352" i="1"/>
  <c r="L356" i="1"/>
  <c r="L360" i="1"/>
  <c r="L397" i="1"/>
  <c r="L379" i="1"/>
  <c r="L229" i="1"/>
  <c r="L293" i="1"/>
  <c r="L391" i="1"/>
  <c r="L317" i="1"/>
  <c r="L209" i="1"/>
  <c r="L337" i="1"/>
  <c r="L101" i="1"/>
  <c r="L165" i="1"/>
  <c r="L121" i="1"/>
  <c r="L185" i="1"/>
  <c r="L249" i="1"/>
  <c r="L313" i="1"/>
  <c r="L273" i="1"/>
  <c r="L253" i="1"/>
  <c r="L81" i="1"/>
  <c r="L309" i="1"/>
  <c r="L93" i="1"/>
  <c r="L157" i="1"/>
  <c r="L221" i="1"/>
  <c r="L285" i="1"/>
  <c r="L399" i="1"/>
  <c r="L241" i="1"/>
  <c r="L305" i="1"/>
  <c r="L125" i="1"/>
  <c r="L69" i="1"/>
  <c r="L133" i="1"/>
  <c r="L197" i="1"/>
  <c r="L261" i="1"/>
  <c r="L325" i="1"/>
  <c r="L145" i="1"/>
  <c r="L109" i="1"/>
  <c r="L173" i="1"/>
  <c r="L237" i="1"/>
  <c r="L301" i="1"/>
  <c r="L383" i="1"/>
  <c r="L189" i="1"/>
  <c r="M282" i="1" l="1"/>
  <c r="P282" i="1"/>
  <c r="P362" i="1"/>
  <c r="M90" i="1"/>
  <c r="P90" i="1"/>
  <c r="P112" i="1"/>
  <c r="M354" i="1"/>
  <c r="P354" i="1"/>
  <c r="P388" i="1"/>
  <c r="P390" i="1"/>
  <c r="M346" i="1"/>
  <c r="P346" i="1"/>
  <c r="M290" i="1"/>
  <c r="P290" i="1"/>
  <c r="M18" i="1"/>
  <c r="P18" i="1"/>
  <c r="P358" i="1"/>
  <c r="P384" i="1"/>
  <c r="M193" i="1"/>
  <c r="P193" i="1"/>
  <c r="M145" i="1"/>
  <c r="P145" i="1"/>
  <c r="M360" i="1"/>
  <c r="P360" i="1"/>
  <c r="M385" i="1"/>
  <c r="P385" i="1"/>
  <c r="M370" i="1"/>
  <c r="P370" i="1"/>
  <c r="M152" i="1"/>
  <c r="P152" i="1"/>
  <c r="M62" i="1"/>
  <c r="P62" i="1"/>
  <c r="M203" i="1"/>
  <c r="P203" i="1"/>
  <c r="M220" i="1"/>
  <c r="P220" i="1"/>
  <c r="M211" i="1"/>
  <c r="P211" i="1"/>
  <c r="M375" i="1"/>
  <c r="P375" i="1"/>
  <c r="M55" i="1"/>
  <c r="P55" i="1"/>
  <c r="M393" i="1"/>
  <c r="P393" i="1"/>
  <c r="M188" i="1"/>
  <c r="P188" i="1"/>
  <c r="M325" i="1"/>
  <c r="P325" i="1"/>
  <c r="M356" i="1"/>
  <c r="P356" i="1"/>
  <c r="M395" i="1"/>
  <c r="P395" i="1"/>
  <c r="M349" i="1"/>
  <c r="P349" i="1"/>
  <c r="M36" i="1"/>
  <c r="P36" i="1"/>
  <c r="M80" i="1"/>
  <c r="P80" i="1"/>
  <c r="M54" i="1"/>
  <c r="P54" i="1"/>
  <c r="M160" i="1"/>
  <c r="P160" i="1"/>
  <c r="M319" i="1"/>
  <c r="P319" i="1"/>
  <c r="M261" i="1"/>
  <c r="P261" i="1"/>
  <c r="M317" i="1"/>
  <c r="P317" i="1"/>
  <c r="M304" i="1"/>
  <c r="P304" i="1"/>
  <c r="M357" i="1"/>
  <c r="P357" i="1"/>
  <c r="M182" i="1"/>
  <c r="P182" i="1"/>
  <c r="M239" i="1"/>
  <c r="P239" i="1"/>
  <c r="M331" i="1"/>
  <c r="P331" i="1"/>
  <c r="M99" i="1"/>
  <c r="P99" i="1"/>
  <c r="M22" i="1"/>
  <c r="P22" i="1"/>
  <c r="M47" i="1"/>
  <c r="P47" i="1"/>
  <c r="M21" i="1"/>
  <c r="P21" i="1"/>
  <c r="M383" i="1"/>
  <c r="P383" i="1"/>
  <c r="M391" i="1"/>
  <c r="P391" i="1"/>
  <c r="M129" i="1"/>
  <c r="P129" i="1"/>
  <c r="M213" i="1"/>
  <c r="P213" i="1"/>
  <c r="M178" i="1"/>
  <c r="P178" i="1"/>
  <c r="M219" i="1"/>
  <c r="P219" i="1"/>
  <c r="M13" i="1"/>
  <c r="P13" i="1"/>
  <c r="M206" i="1"/>
  <c r="P206" i="1"/>
  <c r="M301" i="1"/>
  <c r="P301" i="1"/>
  <c r="M133" i="1"/>
  <c r="P133" i="1"/>
  <c r="M157" i="1"/>
  <c r="P157" i="1"/>
  <c r="M185" i="1"/>
  <c r="P185" i="1"/>
  <c r="M293" i="1"/>
  <c r="P293" i="1"/>
  <c r="M335" i="1"/>
  <c r="P335" i="1"/>
  <c r="M359" i="1"/>
  <c r="P359" i="1"/>
  <c r="M224" i="1"/>
  <c r="P224" i="1"/>
  <c r="M119" i="1"/>
  <c r="P119" i="1"/>
  <c r="M262" i="1"/>
  <c r="P262" i="1"/>
  <c r="M74" i="1"/>
  <c r="P74" i="1"/>
  <c r="M329" i="1"/>
  <c r="P329" i="1"/>
  <c r="M192" i="1"/>
  <c r="P192" i="1"/>
  <c r="M232" i="1"/>
  <c r="P232" i="1"/>
  <c r="M371" i="1"/>
  <c r="P371" i="1"/>
  <c r="M275" i="1"/>
  <c r="P275" i="1"/>
  <c r="M175" i="1"/>
  <c r="P175" i="1"/>
  <c r="M77" i="1"/>
  <c r="P77" i="1"/>
  <c r="M394" i="1"/>
  <c r="P394" i="1"/>
  <c r="M377" i="1"/>
  <c r="P377" i="1"/>
  <c r="M181" i="1"/>
  <c r="P181" i="1"/>
  <c r="M116" i="1"/>
  <c r="P116" i="1"/>
  <c r="M46" i="1"/>
  <c r="P46" i="1"/>
  <c r="M6" i="1"/>
  <c r="P6" i="1"/>
  <c r="M276" i="1"/>
  <c r="P276" i="1"/>
  <c r="M162" i="1"/>
  <c r="P162" i="1"/>
  <c r="M10" i="1"/>
  <c r="P10" i="1"/>
  <c r="M130" i="1"/>
  <c r="P130" i="1"/>
  <c r="M53" i="1"/>
  <c r="P53" i="1"/>
  <c r="M63" i="1"/>
  <c r="P63" i="1"/>
  <c r="M200" i="1"/>
  <c r="P200" i="1"/>
  <c r="M56" i="1"/>
  <c r="P56" i="1"/>
  <c r="M297" i="1"/>
  <c r="P297" i="1"/>
  <c r="M202" i="1"/>
  <c r="P202" i="1"/>
  <c r="M19" i="1"/>
  <c r="P19" i="1"/>
  <c r="M367" i="1"/>
  <c r="P367" i="1"/>
  <c r="M303" i="1"/>
  <c r="P303" i="1"/>
  <c r="M2" i="1"/>
  <c r="M171" i="1"/>
  <c r="P171" i="1"/>
  <c r="M253" i="1"/>
  <c r="P253" i="1"/>
  <c r="M163" i="1"/>
  <c r="P163" i="1"/>
  <c r="M268" i="1"/>
  <c r="P268" i="1"/>
  <c r="M233" i="1"/>
  <c r="P233" i="1"/>
  <c r="M281" i="1"/>
  <c r="P281" i="1"/>
  <c r="M58" i="1"/>
  <c r="P58" i="1"/>
  <c r="M48" i="1"/>
  <c r="P48" i="1"/>
  <c r="M209" i="1"/>
  <c r="P209" i="1"/>
  <c r="M308" i="1"/>
  <c r="P308" i="1"/>
  <c r="M374" i="1"/>
  <c r="P374" i="1"/>
  <c r="M299" i="1"/>
  <c r="P299" i="1"/>
  <c r="M257" i="1"/>
  <c r="P257" i="1"/>
  <c r="M17" i="1"/>
  <c r="P17" i="1"/>
  <c r="M169" i="1"/>
  <c r="P169" i="1"/>
  <c r="M144" i="1"/>
  <c r="P144" i="1"/>
  <c r="M348" i="1"/>
  <c r="P348" i="1"/>
  <c r="M230" i="1"/>
  <c r="P230" i="1"/>
  <c r="M269" i="1"/>
  <c r="P269" i="1"/>
  <c r="M147" i="1"/>
  <c r="P147" i="1"/>
  <c r="M251" i="1"/>
  <c r="P251" i="1"/>
  <c r="M189" i="1"/>
  <c r="P189" i="1"/>
  <c r="M386" i="1"/>
  <c r="P386" i="1"/>
  <c r="M97" i="1"/>
  <c r="P97" i="1"/>
  <c r="M106" i="1"/>
  <c r="P106" i="1"/>
  <c r="M28" i="1"/>
  <c r="P28" i="1"/>
  <c r="M76" i="1"/>
  <c r="P76" i="1"/>
  <c r="M32" i="1"/>
  <c r="P32" i="1"/>
  <c r="M156" i="1"/>
  <c r="P156" i="1"/>
  <c r="M43" i="1"/>
  <c r="P43" i="1"/>
  <c r="M50" i="1"/>
  <c r="P50" i="1"/>
  <c r="M104" i="1"/>
  <c r="P104" i="1"/>
  <c r="M197" i="1"/>
  <c r="P197" i="1"/>
  <c r="M382" i="1"/>
  <c r="P382" i="1"/>
  <c r="M323" i="1"/>
  <c r="P323" i="1"/>
  <c r="M242" i="1"/>
  <c r="P242" i="1"/>
  <c r="M4" i="1"/>
  <c r="P4" i="1"/>
  <c r="M9" i="1"/>
  <c r="P9" i="1"/>
  <c r="M316" i="1"/>
  <c r="P316" i="1"/>
  <c r="M134" i="1"/>
  <c r="P134" i="1"/>
  <c r="M91" i="1"/>
  <c r="P91" i="1"/>
  <c r="M39" i="1"/>
  <c r="P39" i="1"/>
  <c r="M42" i="1"/>
  <c r="P42" i="1"/>
  <c r="M45" i="1"/>
  <c r="P45" i="1"/>
  <c r="M237" i="1"/>
  <c r="P237" i="1"/>
  <c r="M69" i="1"/>
  <c r="P69" i="1"/>
  <c r="M93" i="1"/>
  <c r="P93" i="1"/>
  <c r="M121" i="1"/>
  <c r="P121" i="1"/>
  <c r="M229" i="1"/>
  <c r="P229" i="1"/>
  <c r="M328" i="1"/>
  <c r="P328" i="1"/>
  <c r="M355" i="1"/>
  <c r="P355" i="1"/>
  <c r="M205" i="1"/>
  <c r="P205" i="1"/>
  <c r="M98" i="1"/>
  <c r="P98" i="1"/>
  <c r="M227" i="1"/>
  <c r="P227" i="1"/>
  <c r="M70" i="1"/>
  <c r="P70" i="1"/>
  <c r="M314" i="1"/>
  <c r="P314" i="1"/>
  <c r="M83" i="1"/>
  <c r="P83" i="1"/>
  <c r="M216" i="1"/>
  <c r="P216" i="1"/>
  <c r="M350" i="1"/>
  <c r="P350" i="1"/>
  <c r="M265" i="1"/>
  <c r="P265" i="1"/>
  <c r="M172" i="1"/>
  <c r="P172" i="1"/>
  <c r="M66" i="1"/>
  <c r="P66" i="1"/>
  <c r="M361" i="1"/>
  <c r="P361" i="1"/>
  <c r="M332" i="1"/>
  <c r="P332" i="1"/>
  <c r="M120" i="1"/>
  <c r="P120" i="1"/>
  <c r="M38" i="1"/>
  <c r="P38" i="1"/>
  <c r="M25" i="1"/>
  <c r="P25" i="1"/>
  <c r="M222" i="1"/>
  <c r="P222" i="1"/>
  <c r="M272" i="1"/>
  <c r="P272" i="1"/>
  <c r="M115" i="1"/>
  <c r="P115" i="1"/>
  <c r="M365" i="1"/>
  <c r="P365" i="1"/>
  <c r="M126" i="1"/>
  <c r="P126" i="1"/>
  <c r="M31" i="1"/>
  <c r="P31" i="1"/>
  <c r="M376" i="1"/>
  <c r="P376" i="1"/>
  <c r="M184" i="1"/>
  <c r="P184" i="1"/>
  <c r="M34" i="1"/>
  <c r="P34" i="1"/>
  <c r="M289" i="1"/>
  <c r="P289" i="1"/>
  <c r="M154" i="1"/>
  <c r="P154" i="1"/>
  <c r="M363" i="1"/>
  <c r="P363" i="1"/>
  <c r="M287" i="1"/>
  <c r="P287" i="1"/>
  <c r="M29" i="1"/>
  <c r="P29" i="1"/>
  <c r="M279" i="1"/>
  <c r="P279" i="1"/>
  <c r="M159" i="1"/>
  <c r="P159" i="1"/>
  <c r="M241" i="1"/>
  <c r="P241" i="1"/>
  <c r="M79" i="1"/>
  <c r="P79" i="1"/>
  <c r="M149" i="1"/>
  <c r="P149" i="1"/>
  <c r="M138" i="1"/>
  <c r="P138" i="1"/>
  <c r="M310" i="1"/>
  <c r="P310" i="1"/>
  <c r="M190" i="1"/>
  <c r="P190" i="1"/>
  <c r="M164" i="1"/>
  <c r="P164" i="1"/>
  <c r="M277" i="1"/>
  <c r="P277" i="1"/>
  <c r="M273" i="1"/>
  <c r="P273" i="1"/>
  <c r="M150" i="1"/>
  <c r="P150" i="1"/>
  <c r="M236" i="1"/>
  <c r="P236" i="1"/>
  <c r="M217" i="1"/>
  <c r="P217" i="1"/>
  <c r="M246" i="1"/>
  <c r="P246" i="1"/>
  <c r="M366" i="1"/>
  <c r="P366" i="1"/>
  <c r="M103" i="1"/>
  <c r="P103" i="1"/>
  <c r="M37" i="1"/>
  <c r="P37" i="1"/>
  <c r="M389" i="1"/>
  <c r="P389" i="1"/>
  <c r="M148" i="1"/>
  <c r="P148" i="1"/>
  <c r="M313" i="1"/>
  <c r="P313" i="1"/>
  <c r="M330" i="1"/>
  <c r="P330" i="1"/>
  <c r="M291" i="1"/>
  <c r="P291" i="1"/>
  <c r="M117" i="1"/>
  <c r="P117" i="1"/>
  <c r="M30" i="1"/>
  <c r="P30" i="1"/>
  <c r="M170" i="1"/>
  <c r="P170" i="1"/>
  <c r="M26" i="1"/>
  <c r="P26" i="1"/>
  <c r="M344" i="1"/>
  <c r="P344" i="1"/>
  <c r="M139" i="1"/>
  <c r="P139" i="1"/>
  <c r="M249" i="1"/>
  <c r="P249" i="1"/>
  <c r="M252" i="1"/>
  <c r="P252" i="1"/>
  <c r="M339" i="1"/>
  <c r="P339" i="1"/>
  <c r="M288" i="1"/>
  <c r="P288" i="1"/>
  <c r="M96" i="1"/>
  <c r="P96" i="1"/>
  <c r="M49" i="1"/>
  <c r="P49" i="1"/>
  <c r="M166" i="1"/>
  <c r="P166" i="1"/>
  <c r="M88" i="1"/>
  <c r="P88" i="1"/>
  <c r="M223" i="1"/>
  <c r="P223" i="1"/>
  <c r="M336" i="1"/>
  <c r="P336" i="1"/>
  <c r="M201" i="1"/>
  <c r="P201" i="1"/>
  <c r="M307" i="1"/>
  <c r="P307" i="1"/>
  <c r="M187" i="1"/>
  <c r="P187" i="1"/>
  <c r="M173" i="1"/>
  <c r="P173" i="1"/>
  <c r="M125" i="1"/>
  <c r="P125" i="1"/>
  <c r="M309" i="1"/>
  <c r="P309" i="1"/>
  <c r="M165" i="1"/>
  <c r="P165" i="1"/>
  <c r="M379" i="1"/>
  <c r="P379" i="1"/>
  <c r="M195" i="1"/>
  <c r="P195" i="1"/>
  <c r="M341" i="1"/>
  <c r="P341" i="1"/>
  <c r="M198" i="1"/>
  <c r="P198" i="1"/>
  <c r="M85" i="1"/>
  <c r="P85" i="1"/>
  <c r="M214" i="1"/>
  <c r="P214" i="1"/>
  <c r="M67" i="1"/>
  <c r="P67" i="1"/>
  <c r="M306" i="1"/>
  <c r="P306" i="1"/>
  <c r="M73" i="1"/>
  <c r="P73" i="1"/>
  <c r="M199" i="1"/>
  <c r="P199" i="1"/>
  <c r="M333" i="1"/>
  <c r="P333" i="1"/>
  <c r="M254" i="1"/>
  <c r="P254" i="1"/>
  <c r="M168" i="1"/>
  <c r="P168" i="1"/>
  <c r="M60" i="1"/>
  <c r="P60" i="1"/>
  <c r="M353" i="1"/>
  <c r="P353" i="1"/>
  <c r="M321" i="1"/>
  <c r="P321" i="1"/>
  <c r="M127" i="1"/>
  <c r="P127" i="1"/>
  <c r="M380" i="1"/>
  <c r="P380" i="1"/>
  <c r="M14" i="1"/>
  <c r="P14" i="1"/>
  <c r="M167" i="1"/>
  <c r="P167" i="1"/>
  <c r="M225" i="1"/>
  <c r="P225" i="1"/>
  <c r="M108" i="1"/>
  <c r="P108" i="1"/>
  <c r="M326" i="1"/>
  <c r="P326" i="1"/>
  <c r="M122" i="1"/>
  <c r="P122" i="1"/>
  <c r="M16" i="1"/>
  <c r="P16" i="1"/>
  <c r="M364" i="1"/>
  <c r="P364" i="1"/>
  <c r="M180" i="1"/>
  <c r="P180" i="1"/>
  <c r="M15" i="1"/>
  <c r="P15" i="1"/>
  <c r="M266" i="1"/>
  <c r="P266" i="1"/>
  <c r="M142" i="1"/>
  <c r="P142" i="1"/>
  <c r="M351" i="1"/>
  <c r="P351" i="1"/>
  <c r="M283" i="1"/>
  <c r="P283" i="1"/>
  <c r="M267" i="1"/>
  <c r="P267" i="1"/>
  <c r="M151" i="1"/>
  <c r="P151" i="1"/>
  <c r="M337" i="1"/>
  <c r="P337" i="1"/>
  <c r="M312" i="1"/>
  <c r="P312" i="1"/>
  <c r="M12" i="1"/>
  <c r="P12" i="1"/>
  <c r="M311" i="1"/>
  <c r="P311" i="1"/>
  <c r="M44" i="1"/>
  <c r="P44" i="1"/>
  <c r="M110" i="1"/>
  <c r="P110" i="1"/>
  <c r="M378" i="1"/>
  <c r="P378" i="1"/>
  <c r="M114" i="1"/>
  <c r="P114" i="1"/>
  <c r="M259" i="1"/>
  <c r="P259" i="1"/>
  <c r="M234" i="1"/>
  <c r="P234" i="1"/>
  <c r="M340" i="1"/>
  <c r="P340" i="1"/>
  <c r="M343" i="1"/>
  <c r="P343" i="1"/>
  <c r="M179" i="1"/>
  <c r="P179" i="1"/>
  <c r="M255" i="1"/>
  <c r="P255" i="1"/>
  <c r="M399" i="1"/>
  <c r="P399" i="1"/>
  <c r="M72" i="1"/>
  <c r="P72" i="1"/>
  <c r="M136" i="1"/>
  <c r="P136" i="1"/>
  <c r="M123" i="1"/>
  <c r="P123" i="1"/>
  <c r="M135" i="1"/>
  <c r="P135" i="1"/>
  <c r="M41" i="1"/>
  <c r="P41" i="1"/>
  <c r="M174" i="1"/>
  <c r="P174" i="1"/>
  <c r="M247" i="1"/>
  <c r="P247" i="1"/>
  <c r="M24" i="1"/>
  <c r="P24" i="1"/>
  <c r="M285" i="1"/>
  <c r="P285" i="1"/>
  <c r="M352" i="1"/>
  <c r="P352" i="1"/>
  <c r="M140" i="1"/>
  <c r="P140" i="1"/>
  <c r="M226" i="1"/>
  <c r="P226" i="1"/>
  <c r="M295" i="1"/>
  <c r="P295" i="1"/>
  <c r="M161" i="1"/>
  <c r="P161" i="1"/>
  <c r="M87" i="1"/>
  <c r="P87" i="1"/>
  <c r="M146" i="1"/>
  <c r="P146" i="1"/>
  <c r="M231" i="1"/>
  <c r="P231" i="1"/>
  <c r="M218" i="1"/>
  <c r="P218" i="1"/>
  <c r="M245" i="1"/>
  <c r="P245" i="1"/>
  <c r="M315" i="1"/>
  <c r="P315" i="1"/>
  <c r="M191" i="1"/>
  <c r="P191" i="1"/>
  <c r="M221" i="1"/>
  <c r="P221" i="1"/>
  <c r="M338" i="1"/>
  <c r="P338" i="1"/>
  <c r="M94" i="1"/>
  <c r="P94" i="1"/>
  <c r="M398" i="1"/>
  <c r="P398" i="1"/>
  <c r="M113" i="1"/>
  <c r="P113" i="1"/>
  <c r="M57" i="1"/>
  <c r="P57" i="1"/>
  <c r="M105" i="1"/>
  <c r="P105" i="1"/>
  <c r="M33" i="1"/>
  <c r="P33" i="1"/>
  <c r="M109" i="1"/>
  <c r="P109" i="1"/>
  <c r="M305" i="1"/>
  <c r="P305" i="1"/>
  <c r="M81" i="1"/>
  <c r="P81" i="1"/>
  <c r="M101" i="1"/>
  <c r="P101" i="1"/>
  <c r="M397" i="1"/>
  <c r="P397" i="1"/>
  <c r="M82" i="1"/>
  <c r="P82" i="1"/>
  <c r="M327" i="1"/>
  <c r="P327" i="1"/>
  <c r="M194" i="1"/>
  <c r="P194" i="1"/>
  <c r="M71" i="1"/>
  <c r="P71" i="1"/>
  <c r="M183" i="1"/>
  <c r="P183" i="1"/>
  <c r="M20" i="1"/>
  <c r="P20" i="1"/>
  <c r="M278" i="1"/>
  <c r="P278" i="1"/>
  <c r="M387" i="1"/>
  <c r="P387" i="1"/>
  <c r="M177" i="1"/>
  <c r="P177" i="1"/>
  <c r="M322" i="1"/>
  <c r="P322" i="1"/>
  <c r="M243" i="1"/>
  <c r="P243" i="1"/>
  <c r="M155" i="1"/>
  <c r="P155" i="1"/>
  <c r="M52" i="1"/>
  <c r="P52" i="1"/>
  <c r="M318" i="1"/>
  <c r="P318" i="1"/>
  <c r="M298" i="1"/>
  <c r="P298" i="1"/>
  <c r="M100" i="1"/>
  <c r="P100" i="1"/>
  <c r="M302" i="1"/>
  <c r="P302" i="1"/>
  <c r="M250" i="1"/>
  <c r="P250" i="1"/>
  <c r="M124" i="1"/>
  <c r="P124" i="1"/>
  <c r="M210" i="1"/>
  <c r="P210" i="1"/>
  <c r="M89" i="1"/>
  <c r="P89" i="1"/>
  <c r="M264" i="1"/>
  <c r="P264" i="1"/>
  <c r="M118" i="1"/>
  <c r="P118" i="1"/>
  <c r="M5" i="1"/>
  <c r="P5" i="1"/>
  <c r="M286" i="1"/>
  <c r="P286" i="1"/>
  <c r="M176" i="1"/>
  <c r="P176" i="1"/>
  <c r="M8" i="1"/>
  <c r="P8" i="1"/>
  <c r="M258" i="1"/>
  <c r="P258" i="1"/>
  <c r="M401" i="1"/>
  <c r="P401" i="1"/>
  <c r="M59" i="1"/>
  <c r="P59" i="1"/>
  <c r="M368" i="1"/>
  <c r="P368" i="1"/>
  <c r="M347" i="1"/>
  <c r="P347" i="1"/>
  <c r="M228" i="1"/>
  <c r="P228" i="1"/>
  <c r="M84" i="1"/>
  <c r="P84" i="1"/>
  <c r="M263" i="1"/>
  <c r="P263" i="1"/>
  <c r="M143" i="1"/>
  <c r="P143" i="1"/>
</calcChain>
</file>

<file path=xl/sharedStrings.xml><?xml version="1.0" encoding="utf-8"?>
<sst xmlns="http://schemas.openxmlformats.org/spreadsheetml/2006/main" count="1619" uniqueCount="843">
  <si>
    <t>Plot</t>
  </si>
  <si>
    <t>UNIQUE_ID</t>
  </si>
  <si>
    <t>RANGE_COOR</t>
  </si>
  <si>
    <t>PASS_COORD</t>
  </si>
  <si>
    <t>Name1</t>
  </si>
  <si>
    <t>PLOT_LENGTH_FT</t>
  </si>
  <si>
    <t>PLOT_AREA_A</t>
  </si>
  <si>
    <t>Plot_wt_g</t>
  </si>
  <si>
    <t>plot_wt_lb</t>
  </si>
  <si>
    <t>yld_lb/a</t>
  </si>
  <si>
    <t>yld_bu/a</t>
  </si>
  <si>
    <t>NDP250059Y</t>
  </si>
  <si>
    <t>IL20-677</t>
  </si>
  <si>
    <t>NDP250078Y</t>
  </si>
  <si>
    <t>IL23-1206</t>
  </si>
  <si>
    <t>NDP250083Y</t>
  </si>
  <si>
    <t>IL20-7727</t>
  </si>
  <si>
    <t>NDP150412G</t>
  </si>
  <si>
    <t>IL23-376</t>
  </si>
  <si>
    <t>NDP250045Y</t>
  </si>
  <si>
    <t>IL23-669</t>
  </si>
  <si>
    <t>NDP250170Y</t>
  </si>
  <si>
    <t>IL17-3125</t>
  </si>
  <si>
    <t>NDP250065Y</t>
  </si>
  <si>
    <t>IL20-8446</t>
  </si>
  <si>
    <t>NDP250056G</t>
  </si>
  <si>
    <t>IL23-271</t>
  </si>
  <si>
    <t>NDP250168Y</t>
  </si>
  <si>
    <t>IL23-621</t>
  </si>
  <si>
    <t>NDP250129Y</t>
  </si>
  <si>
    <t>IL22-4235</t>
  </si>
  <si>
    <t>NDP250137G</t>
  </si>
  <si>
    <t>NDP250165Y</t>
  </si>
  <si>
    <t>IL23-1608</t>
  </si>
  <si>
    <t>NDP250076Y</t>
  </si>
  <si>
    <t>IL23-3730</t>
  </si>
  <si>
    <t>NDP150228Y</t>
  </si>
  <si>
    <t>IL23-2843</t>
  </si>
  <si>
    <t>NDP250139G</t>
  </si>
  <si>
    <t>IL23-1614</t>
  </si>
  <si>
    <t>NDP170008G</t>
  </si>
  <si>
    <t>IL23-4049</t>
  </si>
  <si>
    <t>IL23-661</t>
  </si>
  <si>
    <t>NDP170151Y</t>
  </si>
  <si>
    <t>IL23-512</t>
  </si>
  <si>
    <t>NDP250091Y</t>
  </si>
  <si>
    <t>IL23-2253</t>
  </si>
  <si>
    <t>NDP250160Y</t>
  </si>
  <si>
    <t>IL23-965</t>
  </si>
  <si>
    <t>NDP250128Y</t>
  </si>
  <si>
    <t>IL23-2154</t>
  </si>
  <si>
    <t>NDP250048Y</t>
  </si>
  <si>
    <t>IL23-377</t>
  </si>
  <si>
    <t>NDP150084Y</t>
  </si>
  <si>
    <t>IL23-913</t>
  </si>
  <si>
    <t>NDP170202Y</t>
  </si>
  <si>
    <t>IL21-4364</t>
  </si>
  <si>
    <t>NDP250064Y</t>
  </si>
  <si>
    <t>IL23-4722</t>
  </si>
  <si>
    <t>NDP140510Y</t>
  </si>
  <si>
    <t>IL23-2954</t>
  </si>
  <si>
    <t>NDP250088Y</t>
  </si>
  <si>
    <t>IL22-948</t>
  </si>
  <si>
    <t>NDP250058G</t>
  </si>
  <si>
    <t>IL23-1422</t>
  </si>
  <si>
    <t>NDP250075Y</t>
  </si>
  <si>
    <t>IL22-4714</t>
  </si>
  <si>
    <t>IL19-6432</t>
  </si>
  <si>
    <t>NDP170039G</t>
  </si>
  <si>
    <t>IL23-923</t>
  </si>
  <si>
    <t>NDP170111G</t>
  </si>
  <si>
    <t>IL23-524</t>
  </si>
  <si>
    <t>NDP150221G</t>
  </si>
  <si>
    <t>IL23-3759</t>
  </si>
  <si>
    <t>NDP250127Y</t>
  </si>
  <si>
    <t>IL22-1019</t>
  </si>
  <si>
    <t>NDP250181G</t>
  </si>
  <si>
    <t>IL23-4259</t>
  </si>
  <si>
    <t>IL23-1617</t>
  </si>
  <si>
    <t>NDP170183Y</t>
  </si>
  <si>
    <t>IL23-1644</t>
  </si>
  <si>
    <t>NDP250132Y</t>
  </si>
  <si>
    <t>IL22-2362</t>
  </si>
  <si>
    <t>NDP250175Y</t>
  </si>
  <si>
    <t>NDP250100Y</t>
  </si>
  <si>
    <t>IL23-3443</t>
  </si>
  <si>
    <t>NDP170200Y</t>
  </si>
  <si>
    <t>IL23-1165</t>
  </si>
  <si>
    <t>NDP250055G</t>
  </si>
  <si>
    <t>IL23-2751</t>
  </si>
  <si>
    <t>NDP250063Y</t>
  </si>
  <si>
    <t>IL20-6928</t>
  </si>
  <si>
    <t>NDP250107G</t>
  </si>
  <si>
    <t>IL23-3545</t>
  </si>
  <si>
    <t>NDP170043G</t>
  </si>
  <si>
    <t>IL23-1348</t>
  </si>
  <si>
    <t>NDP170022G</t>
  </si>
  <si>
    <t>IL23-1619</t>
  </si>
  <si>
    <t>NDP250037Y</t>
  </si>
  <si>
    <t>IL23-763</t>
  </si>
  <si>
    <t>NDP250043Y</t>
  </si>
  <si>
    <t>IL20-5913</t>
  </si>
  <si>
    <t>NDP170153Y</t>
  </si>
  <si>
    <t>IL19-4877</t>
  </si>
  <si>
    <t>NDP170027G</t>
  </si>
  <si>
    <t>IL23-906</t>
  </si>
  <si>
    <t>NDP250114G</t>
  </si>
  <si>
    <t>IL22-2662</t>
  </si>
  <si>
    <t>NDP250106G</t>
  </si>
  <si>
    <t>IL19-6920</t>
  </si>
  <si>
    <t>NDP170350Y</t>
  </si>
  <si>
    <t>NDP170011G</t>
  </si>
  <si>
    <t>IL23-1655</t>
  </si>
  <si>
    <t>NDP250069Y</t>
  </si>
  <si>
    <t>IL23-1669</t>
  </si>
  <si>
    <t>NDP250171Y</t>
  </si>
  <si>
    <t>IL22-4432</t>
  </si>
  <si>
    <t>NDP170056G</t>
  </si>
  <si>
    <t>IL23-4572</t>
  </si>
  <si>
    <t>NDP170089G</t>
  </si>
  <si>
    <t>NDP250036Y</t>
  </si>
  <si>
    <t>NDP250067Y</t>
  </si>
  <si>
    <t>IL23-1414</t>
  </si>
  <si>
    <t>NDP250157Y</t>
  </si>
  <si>
    <t>IL23-3731</t>
  </si>
  <si>
    <t>NDP250169Y</t>
  </si>
  <si>
    <t>IL19-5336</t>
  </si>
  <si>
    <t>IL23-4079</t>
  </si>
  <si>
    <t>NDP250136G</t>
  </si>
  <si>
    <t>NDP170031G</t>
  </si>
  <si>
    <t>NDP170017G</t>
  </si>
  <si>
    <t>IL23-4063</t>
  </si>
  <si>
    <t>NDP170181Y</t>
  </si>
  <si>
    <t>IL22-1423</t>
  </si>
  <si>
    <t>NDP120083Y</t>
  </si>
  <si>
    <t>IL23-3335</t>
  </si>
  <si>
    <t>NDP170012G</t>
  </si>
  <si>
    <t>IL23-3661</t>
  </si>
  <si>
    <t>NDP170037G</t>
  </si>
  <si>
    <t>IL23-1666</t>
  </si>
  <si>
    <t>NDP250119G</t>
  </si>
  <si>
    <t>IL23-1432</t>
  </si>
  <si>
    <t>NDP250099Y</t>
  </si>
  <si>
    <t>NDP170336G</t>
  </si>
  <si>
    <t>IL22-1256</t>
  </si>
  <si>
    <t>NDP250178Y</t>
  </si>
  <si>
    <t>IL23-3848</t>
  </si>
  <si>
    <t>NDP250094Y</t>
  </si>
  <si>
    <t>IL22-3146</t>
  </si>
  <si>
    <t>ND VICTORY</t>
  </si>
  <si>
    <t>ND DAWN</t>
  </si>
  <si>
    <t>IL21-4011</t>
  </si>
  <si>
    <t>NDP170185Y</t>
  </si>
  <si>
    <t>IL19-5467</t>
  </si>
  <si>
    <t>NDP250186G</t>
  </si>
  <si>
    <t>IL23-1842</t>
  </si>
  <si>
    <t>NDP170054Y</t>
  </si>
  <si>
    <t>NDP170249Y</t>
  </si>
  <si>
    <t>IL21-5955</t>
  </si>
  <si>
    <t>NDP170177Y</t>
  </si>
  <si>
    <t>NDP250116G</t>
  </si>
  <si>
    <t>IL23-963</t>
  </si>
  <si>
    <t>NDP170028G</t>
  </si>
  <si>
    <t>IL23-1531</t>
  </si>
  <si>
    <t>IL23-1547</t>
  </si>
  <si>
    <t>IL23-1424</t>
  </si>
  <si>
    <t>NDP170190Y</t>
  </si>
  <si>
    <t>IL23-3627</t>
  </si>
  <si>
    <t>NDP170094Y</t>
  </si>
  <si>
    <t>IL19-3661</t>
  </si>
  <si>
    <t>NDP250093Y</t>
  </si>
  <si>
    <t>IL23-3621</t>
  </si>
  <si>
    <t>NDP250120G</t>
  </si>
  <si>
    <t>IL23-1423</t>
  </si>
  <si>
    <t>NDP170273Y</t>
  </si>
  <si>
    <t>NDP250138G</t>
  </si>
  <si>
    <t>IL23-3669</t>
  </si>
  <si>
    <t>NDP250104G</t>
  </si>
  <si>
    <t>IL23-4554</t>
  </si>
  <si>
    <t>NDP250112G</t>
  </si>
  <si>
    <t>IL23-943</t>
  </si>
  <si>
    <t>NDP250187G</t>
  </si>
  <si>
    <t>IL23-1450</t>
  </si>
  <si>
    <t>IL23-951</t>
  </si>
  <si>
    <t>NDP150210Y</t>
  </si>
  <si>
    <t>IL23-1409</t>
  </si>
  <si>
    <t>NDP250135Y</t>
  </si>
  <si>
    <t>IL23-3738</t>
  </si>
  <si>
    <t>IL23-3468</t>
  </si>
  <si>
    <t>NDP250110G</t>
  </si>
  <si>
    <t>IL21-4043</t>
  </si>
  <si>
    <t>IL23-2942</t>
  </si>
  <si>
    <t>NDP250096Y</t>
  </si>
  <si>
    <t>IL23-1947</t>
  </si>
  <si>
    <t>NDP250109G</t>
  </si>
  <si>
    <t>IL23-558</t>
  </si>
  <si>
    <t>NDP250097Y</t>
  </si>
  <si>
    <t>IL23-1753</t>
  </si>
  <si>
    <t>IL19-3618</t>
  </si>
  <si>
    <t>IL23-1410</t>
  </si>
  <si>
    <t>NDP250188G</t>
  </si>
  <si>
    <t>NDP170101G</t>
  </si>
  <si>
    <t>IL21-6116</t>
  </si>
  <si>
    <t>NDP250161Y</t>
  </si>
  <si>
    <t>IL19-6345</t>
  </si>
  <si>
    <t>NDP150232Y</t>
  </si>
  <si>
    <t>IL23-1623</t>
  </si>
  <si>
    <t>NDP250102Y</t>
  </si>
  <si>
    <t>NDP250049Y</t>
  </si>
  <si>
    <t>IL21-753</t>
  </si>
  <si>
    <t>NDP121711R</t>
  </si>
  <si>
    <t>IL19-7048</t>
  </si>
  <si>
    <t>NDP250074Y</t>
  </si>
  <si>
    <t>NDP250141G</t>
  </si>
  <si>
    <t>IL23-4555</t>
  </si>
  <si>
    <t>NDP170161Y</t>
  </si>
  <si>
    <t>IL23-3549</t>
  </si>
  <si>
    <t>IL23-1806</t>
  </si>
  <si>
    <t>NDP250108G</t>
  </si>
  <si>
    <t>IL23-3635</t>
  </si>
  <si>
    <t>NDP250125Y</t>
  </si>
  <si>
    <t>IL23-1259</t>
  </si>
  <si>
    <t>IL23-1650</t>
  </si>
  <si>
    <t>IL21-7653</t>
  </si>
  <si>
    <t>NDP170004G</t>
  </si>
  <si>
    <t>IL19-4556</t>
  </si>
  <si>
    <t>NDP250163Y</t>
  </si>
  <si>
    <t>IL23-4575</t>
  </si>
  <si>
    <t>NDP250185G</t>
  </si>
  <si>
    <t>IL22-6261</t>
  </si>
  <si>
    <t>NDP250167Y</t>
  </si>
  <si>
    <t>IL23-543</t>
  </si>
  <si>
    <t>NDP150476G</t>
  </si>
  <si>
    <t>IL23-4718</t>
  </si>
  <si>
    <t>NDP150231Y</t>
  </si>
  <si>
    <t>IL23-1613</t>
  </si>
  <si>
    <t>IL23-423</t>
  </si>
  <si>
    <t>IL21-3542</t>
  </si>
  <si>
    <t>IL23-3857</t>
  </si>
  <si>
    <t>IL23-1653</t>
  </si>
  <si>
    <t>NDP250035G</t>
  </si>
  <si>
    <t>NDP250080Y</t>
  </si>
  <si>
    <t>IL23-875</t>
  </si>
  <si>
    <t>NDP170247Y</t>
  </si>
  <si>
    <t>IL22-4169</t>
  </si>
  <si>
    <t>NDP170245Y</t>
  </si>
  <si>
    <t>IL23-1660</t>
  </si>
  <si>
    <t>NDP250057G</t>
  </si>
  <si>
    <t>IL23-2625</t>
  </si>
  <si>
    <t>IL23-2246</t>
  </si>
  <si>
    <t>IL20-7841</t>
  </si>
  <si>
    <t>NDP170001G</t>
  </si>
  <si>
    <t>IL22-1939</t>
  </si>
  <si>
    <t>NDP250086Y</t>
  </si>
  <si>
    <t>IL23-4274</t>
  </si>
  <si>
    <t>NDP250077Y</t>
  </si>
  <si>
    <t>IL23-4253</t>
  </si>
  <si>
    <t>NDP160034Y</t>
  </si>
  <si>
    <t>NDP250066Y</t>
  </si>
  <si>
    <t>IL20-8456</t>
  </si>
  <si>
    <t>NDP160129G</t>
  </si>
  <si>
    <t>NDP250101Y</t>
  </si>
  <si>
    <t>NDP250040Y</t>
  </si>
  <si>
    <t>NDP170104Y</t>
  </si>
  <si>
    <t>NDP250164Y</t>
  </si>
  <si>
    <t>IL21-8143</t>
  </si>
  <si>
    <t>IL23-739</t>
  </si>
  <si>
    <t>IL23-360</t>
  </si>
  <si>
    <t>NDP170253Y</t>
  </si>
  <si>
    <t>NDP250113G</t>
  </si>
  <si>
    <t>IL23-3827</t>
  </si>
  <si>
    <t>NDP250172Y</t>
  </si>
  <si>
    <t>IL23-3675</t>
  </si>
  <si>
    <t>NDP250152Y</t>
  </si>
  <si>
    <t>IL23-3312</t>
  </si>
  <si>
    <t>NDP170182Y</t>
  </si>
  <si>
    <t>NDP250140G</t>
  </si>
  <si>
    <t>IL23-1959</t>
  </si>
  <si>
    <t>IL23-415</t>
  </si>
  <si>
    <t>IL23-1610</t>
  </si>
  <si>
    <t>NDP250155Y</t>
  </si>
  <si>
    <t>IL22-5070</t>
  </si>
  <si>
    <t>NDP150119G</t>
  </si>
  <si>
    <t>NDP170110Y</t>
  </si>
  <si>
    <t>IL20-615</t>
  </si>
  <si>
    <t>NDP150338Y</t>
  </si>
  <si>
    <t>IL21-7822</t>
  </si>
  <si>
    <t>NDP170133G</t>
  </si>
  <si>
    <t>IL23-4469</t>
  </si>
  <si>
    <t>NDP250184G</t>
  </si>
  <si>
    <t>IL23-4039</t>
  </si>
  <si>
    <t>NDP250029Y</t>
  </si>
  <si>
    <t>IL19-7063</t>
  </si>
  <si>
    <t>IL22-3262</t>
  </si>
  <si>
    <t>NDP150106G</t>
  </si>
  <si>
    <t>IL19-2033</t>
  </si>
  <si>
    <t>IL23-250</t>
  </si>
  <si>
    <t>IL23-2458</t>
  </si>
  <si>
    <t>IL23-771</t>
  </si>
  <si>
    <t>NDP250177Y</t>
  </si>
  <si>
    <t>IL23-1651</t>
  </si>
  <si>
    <t>IL23-957</t>
  </si>
  <si>
    <t>IL23-1815</t>
  </si>
  <si>
    <t>IL23-259</t>
  </si>
  <si>
    <t>IL23-251</t>
  </si>
  <si>
    <t>NDP250122Y</t>
  </si>
  <si>
    <t>IL23-4252</t>
  </si>
  <si>
    <t>NDP250123Y</t>
  </si>
  <si>
    <t>IL22-5365</t>
  </si>
  <si>
    <t>NDP150179Y</t>
  </si>
  <si>
    <t>IL23-1663</t>
  </si>
  <si>
    <t>IL23-1668</t>
  </si>
  <si>
    <t>NDP250031Y</t>
  </si>
  <si>
    <t>NDP250121Y</t>
  </si>
  <si>
    <t>NDP250156Y</t>
  </si>
  <si>
    <t>IL23-1621</t>
  </si>
  <si>
    <t>IL23-3434</t>
  </si>
  <si>
    <t>IL23-4546</t>
  </si>
  <si>
    <t>IL23-260</t>
  </si>
  <si>
    <t>IL23-810</t>
  </si>
  <si>
    <t>NDP250105G</t>
  </si>
  <si>
    <t>IL23-1225</t>
  </si>
  <si>
    <t>IL21-6257</t>
  </si>
  <si>
    <t>NDP250153Y</t>
  </si>
  <si>
    <t>IL23-551</t>
  </si>
  <si>
    <t>NDP170099G</t>
  </si>
  <si>
    <t>IL20-1037</t>
  </si>
  <si>
    <t>NDP250115G</t>
  </si>
  <si>
    <t>IL20-746</t>
  </si>
  <si>
    <t>NDP250090Y</t>
  </si>
  <si>
    <t>NDP250180Y</t>
  </si>
  <si>
    <t>IL23-660</t>
  </si>
  <si>
    <t>IL22-2250</t>
  </si>
  <si>
    <t>NDP250117G</t>
  </si>
  <si>
    <t>IL23-3823</t>
  </si>
  <si>
    <t>NDP120181Y</t>
  </si>
  <si>
    <t>NDP250039Y</t>
  </si>
  <si>
    <t>IL23-3565</t>
  </si>
  <si>
    <t>NDP250095Y</t>
  </si>
  <si>
    <t>IL23-939</t>
  </si>
  <si>
    <t>NDP250030Y</t>
  </si>
  <si>
    <t>IL23-268</t>
  </si>
  <si>
    <t>IL23-3826</t>
  </si>
  <si>
    <t>NDP250073Y</t>
  </si>
  <si>
    <t>IL23-3838</t>
  </si>
  <si>
    <t>NDP250050Y</t>
  </si>
  <si>
    <t>IL23-247</t>
  </si>
  <si>
    <t>IL23-2956</t>
  </si>
  <si>
    <t>NDP250032Y</t>
  </si>
  <si>
    <t>IL23-3228</t>
  </si>
  <si>
    <t>IL23-3842</t>
  </si>
  <si>
    <t>IL23-1764</t>
  </si>
  <si>
    <t>NDP150223G</t>
  </si>
  <si>
    <t>NDP250051Y</t>
  </si>
  <si>
    <t>NDP250149G</t>
  </si>
  <si>
    <t>IL23-236</t>
  </si>
  <si>
    <t>IL23-2443</t>
  </si>
  <si>
    <t>IL19-7058</t>
  </si>
  <si>
    <t>NDP250084Y</t>
  </si>
  <si>
    <t>IL23-2554</t>
  </si>
  <si>
    <t>NDP250046Y</t>
  </si>
  <si>
    <t>NDP250038Y</t>
  </si>
  <si>
    <t>IL23-1775</t>
  </si>
  <si>
    <t>NDP250183G</t>
  </si>
  <si>
    <t>IL19-1222</t>
  </si>
  <si>
    <t>NDP250158Y</t>
  </si>
  <si>
    <t>IL23-1459</t>
  </si>
  <si>
    <t>IL23-1462</t>
  </si>
  <si>
    <t>IL23-971</t>
  </si>
  <si>
    <t>IL22-5830</t>
  </si>
  <si>
    <t>NDP250028Y</t>
  </si>
  <si>
    <t>NDP170057G</t>
  </si>
  <si>
    <t>NDP250041Y</t>
  </si>
  <si>
    <t>IL22-4548</t>
  </si>
  <si>
    <t>IL23-3572</t>
  </si>
  <si>
    <t>NDP250151Y</t>
  </si>
  <si>
    <t>IL23-3710</t>
  </si>
  <si>
    <t>NDP250150G</t>
  </si>
  <si>
    <t>IL23-3517</t>
  </si>
  <si>
    <t>NDP250061Y</t>
  </si>
  <si>
    <t>IL23-4118</t>
  </si>
  <si>
    <t>NDP250130Y</t>
  </si>
  <si>
    <t>IL23-4547</t>
  </si>
  <si>
    <t>IL19-2673</t>
  </si>
  <si>
    <t>NDP160153Y</t>
  </si>
  <si>
    <t>NDP250159Y</t>
  </si>
  <si>
    <t>IL23-1421</t>
  </si>
  <si>
    <t>NDP250027G</t>
  </si>
  <si>
    <t>IL23-3655</t>
  </si>
  <si>
    <t>IL23-911</t>
  </si>
  <si>
    <t>NDP140295G</t>
  </si>
  <si>
    <t>IL23-2963</t>
  </si>
  <si>
    <t>IL23-3576</t>
  </si>
  <si>
    <t>NDP250146G</t>
  </si>
  <si>
    <t>IL22-4325</t>
  </si>
  <si>
    <t>IL19-511</t>
  </si>
  <si>
    <t>NDP170156Y</t>
  </si>
  <si>
    <t>NDP170322Y</t>
  </si>
  <si>
    <t>IL23-1847</t>
  </si>
  <si>
    <t>NDP121714R</t>
  </si>
  <si>
    <t>IL23-1209</t>
  </si>
  <si>
    <t>NDP250068Y</t>
  </si>
  <si>
    <t>IL22-4050</t>
  </si>
  <si>
    <t>IL21-5917</t>
  </si>
  <si>
    <t>IL23-723</t>
  </si>
  <si>
    <t>NDP250070Y</t>
  </si>
  <si>
    <t>IL23-4835</t>
  </si>
  <si>
    <t>NDP250118G</t>
  </si>
  <si>
    <t>IL23-3830</t>
  </si>
  <si>
    <t>NDP250176Y</t>
  </si>
  <si>
    <t>IL23-2034</t>
  </si>
  <si>
    <t>IL23-1163</t>
  </si>
  <si>
    <t>IL21-4020</t>
  </si>
  <si>
    <t>NDP250033Y</t>
  </si>
  <si>
    <t>IL19-6406</t>
  </si>
  <si>
    <t>IL22-5335</t>
  </si>
  <si>
    <t>IL23-4243</t>
  </si>
  <si>
    <t>NDP250089Y</t>
  </si>
  <si>
    <t>IL23-445</t>
  </si>
  <si>
    <t>NDP250052Y</t>
  </si>
  <si>
    <t>NDP250148G</t>
  </si>
  <si>
    <t>NDP250079Y</t>
  </si>
  <si>
    <t>NDP170328G</t>
  </si>
  <si>
    <t>IL23-4543</t>
  </si>
  <si>
    <t>NDP250053G</t>
  </si>
  <si>
    <t>NDP160188Y</t>
  </si>
  <si>
    <t>IL23-2021</t>
  </si>
  <si>
    <t>IL23-4423</t>
  </si>
  <si>
    <t>NDP250131Y</t>
  </si>
  <si>
    <t>IL19-5332</t>
  </si>
  <si>
    <t>NDP250142G</t>
  </si>
  <si>
    <t>IL23-3829</t>
  </si>
  <si>
    <t>NDP250042Y</t>
  </si>
  <si>
    <t>IL23-3751</t>
  </si>
  <si>
    <t>NDP250179Y</t>
  </si>
  <si>
    <t>IL22-4459</t>
  </si>
  <si>
    <t>IL22-3958</t>
  </si>
  <si>
    <t>NDP250098Y</t>
  </si>
  <si>
    <t>Oat_genotype</t>
  </si>
  <si>
    <t>Pea Grain Weight - g|CO_xxx:0003006</t>
  </si>
  <si>
    <t>Pea Grain Yield - g/m2|CO_xxx:0003008</t>
  </si>
  <si>
    <t>observationunit_name</t>
  </si>
  <si>
    <t>B4I_2025_ND_4001</t>
  </si>
  <si>
    <t>B4I_2025_ND_4002</t>
  </si>
  <si>
    <t>B4I_2025_ND_4003</t>
  </si>
  <si>
    <t>B4I_2025_ND_4004</t>
  </si>
  <si>
    <t>B4I_2025_ND_4005</t>
  </si>
  <si>
    <t>B4I_2025_ND_4006</t>
  </si>
  <si>
    <t>B4I_2025_ND_4007</t>
  </si>
  <si>
    <t>B4I_2025_ND_4008</t>
  </si>
  <si>
    <t>B4I_2025_ND_4009</t>
  </si>
  <si>
    <t>B4I_2025_ND_4010</t>
  </si>
  <si>
    <t>B4I_2025_ND_4011</t>
  </si>
  <si>
    <t>B4I_2025_ND_4012</t>
  </si>
  <si>
    <t>B4I_2025_ND_4013</t>
  </si>
  <si>
    <t>B4I_2025_ND_4014</t>
  </si>
  <si>
    <t>B4I_2025_ND_4015</t>
  </si>
  <si>
    <t>B4I_2025_ND_4016</t>
  </si>
  <si>
    <t>B4I_2025_ND_4017</t>
  </si>
  <si>
    <t>B4I_2025_ND_4018</t>
  </si>
  <si>
    <t>B4I_2025_ND_4019</t>
  </si>
  <si>
    <t>B4I_2025_ND_4020</t>
  </si>
  <si>
    <t>B4I_2025_ND_4021</t>
  </si>
  <si>
    <t>B4I_2025_ND_4022</t>
  </si>
  <si>
    <t>B4I_2025_ND_4023</t>
  </si>
  <si>
    <t>B4I_2025_ND_4024</t>
  </si>
  <si>
    <t>B4I_2025_ND_4025</t>
  </si>
  <si>
    <t>B4I_2025_ND_4026</t>
  </si>
  <si>
    <t>B4I_2025_ND_4027</t>
  </si>
  <si>
    <t>B4I_2025_ND_4028</t>
  </si>
  <si>
    <t>B4I_2025_ND_4029</t>
  </si>
  <si>
    <t>B4I_2025_ND_4030</t>
  </si>
  <si>
    <t>B4I_2025_ND_4031</t>
  </si>
  <si>
    <t>B4I_2025_ND_4032</t>
  </si>
  <si>
    <t>B4I_2025_ND_4033</t>
  </si>
  <si>
    <t>B4I_2025_ND_4034</t>
  </si>
  <si>
    <t>B4I_2025_ND_4035</t>
  </si>
  <si>
    <t>B4I_2025_ND_4036</t>
  </si>
  <si>
    <t>B4I_2025_ND_4037</t>
  </si>
  <si>
    <t>B4I_2025_ND_4038</t>
  </si>
  <si>
    <t>B4I_2025_ND_4039</t>
  </si>
  <si>
    <t>B4I_2025_ND_4040</t>
  </si>
  <si>
    <t>B4I_2025_ND_4041</t>
  </si>
  <si>
    <t>B4I_2025_ND_4042</t>
  </si>
  <si>
    <t>B4I_2025_ND_4043</t>
  </si>
  <si>
    <t>B4I_2025_ND_4044</t>
  </si>
  <si>
    <t>B4I_2025_ND_4045</t>
  </si>
  <si>
    <t>B4I_2025_ND_4046</t>
  </si>
  <si>
    <t>B4I_2025_ND_4047</t>
  </si>
  <si>
    <t>B4I_2025_ND_4048</t>
  </si>
  <si>
    <t>B4I_2025_ND_4049</t>
  </si>
  <si>
    <t>B4I_2025_ND_4050</t>
  </si>
  <si>
    <t>B4I_2025_ND_4051</t>
  </si>
  <si>
    <t>B4I_2025_ND_4052</t>
  </si>
  <si>
    <t>B4I_2025_ND_4053</t>
  </si>
  <si>
    <t>B4I_2025_ND_4054</t>
  </si>
  <si>
    <t>B4I_2025_ND_4055</t>
  </si>
  <si>
    <t>B4I_2025_ND_4056</t>
  </si>
  <si>
    <t>B4I_2025_ND_4057</t>
  </si>
  <si>
    <t>B4I_2025_ND_4058</t>
  </si>
  <si>
    <t>B4I_2025_ND_4059</t>
  </si>
  <si>
    <t>B4I_2025_ND_4060</t>
  </si>
  <si>
    <t>B4I_2025_ND_4061</t>
  </si>
  <si>
    <t>B4I_2025_ND_4062</t>
  </si>
  <si>
    <t>B4I_2025_ND_4063</t>
  </si>
  <si>
    <t>B4I_2025_ND_4064</t>
  </si>
  <si>
    <t>B4I_2025_ND_4065</t>
  </si>
  <si>
    <t>B4I_2025_ND_4066</t>
  </si>
  <si>
    <t>B4I_2025_ND_4067</t>
  </si>
  <si>
    <t>B4I_2025_ND_4068</t>
  </si>
  <si>
    <t>B4I_2025_ND_4069</t>
  </si>
  <si>
    <t>B4I_2025_ND_4070</t>
  </si>
  <si>
    <t>B4I_2025_ND_4071</t>
  </si>
  <si>
    <t>B4I_2025_ND_4072</t>
  </si>
  <si>
    <t>B4I_2025_ND_4073</t>
  </si>
  <si>
    <t>B4I_2025_ND_4074</t>
  </si>
  <si>
    <t>B4I_2025_ND_4075</t>
  </si>
  <si>
    <t>B4I_2025_ND_4076</t>
  </si>
  <si>
    <t>B4I_2025_ND_4077</t>
  </si>
  <si>
    <t>B4I_2025_ND_4078</t>
  </si>
  <si>
    <t>B4I_2025_ND_4079</t>
  </si>
  <si>
    <t>B4I_2025_ND_4080</t>
  </si>
  <si>
    <t>B4I_2025_ND_4081</t>
  </si>
  <si>
    <t>B4I_2025_ND_4082</t>
  </si>
  <si>
    <t>B4I_2025_ND_4083</t>
  </si>
  <si>
    <t>B4I_2025_ND_4084</t>
  </si>
  <si>
    <t>B4I_2025_ND_4085</t>
  </si>
  <si>
    <t>B4I_2025_ND_4086</t>
  </si>
  <si>
    <t>B4I_2025_ND_4087</t>
  </si>
  <si>
    <t>B4I_2025_ND_4088</t>
  </si>
  <si>
    <t>B4I_2025_ND_4089</t>
  </si>
  <si>
    <t>B4I_2025_ND_4090</t>
  </si>
  <si>
    <t>B4I_2025_ND_4091</t>
  </si>
  <si>
    <t>B4I_2025_ND_4092</t>
  </si>
  <si>
    <t>B4I_2025_ND_4093</t>
  </si>
  <si>
    <t>B4I_2025_ND_4094</t>
  </si>
  <si>
    <t>B4I_2025_ND_4095</t>
  </si>
  <si>
    <t>B4I_2025_ND_4096</t>
  </si>
  <si>
    <t>B4I_2025_ND_4097</t>
  </si>
  <si>
    <t>B4I_2025_ND_4098</t>
  </si>
  <si>
    <t>B4I_2025_ND_4099</t>
  </si>
  <si>
    <t>B4I_2025_ND_4100</t>
  </si>
  <si>
    <t>B4I_2025_ND_4101</t>
  </si>
  <si>
    <t>B4I_2025_ND_4102</t>
  </si>
  <si>
    <t>B4I_2025_ND_4103</t>
  </si>
  <si>
    <t>B4I_2025_ND_4104</t>
  </si>
  <si>
    <t>B4I_2025_ND_4105</t>
  </si>
  <si>
    <t>B4I_2025_ND_4106</t>
  </si>
  <si>
    <t>B4I_2025_ND_4107</t>
  </si>
  <si>
    <t>B4I_2025_ND_4108</t>
  </si>
  <si>
    <t>B4I_2025_ND_4109</t>
  </si>
  <si>
    <t>B4I_2025_ND_4110</t>
  </si>
  <si>
    <t>B4I_2025_ND_4111</t>
  </si>
  <si>
    <t>B4I_2025_ND_4112</t>
  </si>
  <si>
    <t>B4I_2025_ND_4113</t>
  </si>
  <si>
    <t>B4I_2025_ND_4114</t>
  </si>
  <si>
    <t>B4I_2025_ND_4115</t>
  </si>
  <si>
    <t>B4I_2025_ND_4116</t>
  </si>
  <si>
    <t>B4I_2025_ND_4117</t>
  </si>
  <si>
    <t>B4I_2025_ND_4118</t>
  </si>
  <si>
    <t>B4I_2025_ND_4119</t>
  </si>
  <si>
    <t>B4I_2025_ND_4120</t>
  </si>
  <si>
    <t>B4I_2025_ND_4121</t>
  </si>
  <si>
    <t>B4I_2025_ND_4122</t>
  </si>
  <si>
    <t>B4I_2025_ND_4123</t>
  </si>
  <si>
    <t>B4I_2025_ND_4124</t>
  </si>
  <si>
    <t>B4I_2025_ND_4125</t>
  </si>
  <si>
    <t>B4I_2025_ND_4126</t>
  </si>
  <si>
    <t>B4I_2025_ND_4127</t>
  </si>
  <si>
    <t>B4I_2025_ND_4128</t>
  </si>
  <si>
    <t>B4I_2025_ND_4129</t>
  </si>
  <si>
    <t>B4I_2025_ND_4130</t>
  </si>
  <si>
    <t>B4I_2025_ND_4131</t>
  </si>
  <si>
    <t>B4I_2025_ND_4132</t>
  </si>
  <si>
    <t>B4I_2025_ND_4133</t>
  </si>
  <si>
    <t>B4I_2025_ND_4134</t>
  </si>
  <si>
    <t>B4I_2025_ND_4135</t>
  </si>
  <si>
    <t>B4I_2025_ND_4136</t>
  </si>
  <si>
    <t>B4I_2025_ND_4137</t>
  </si>
  <si>
    <t>B4I_2025_ND_4138</t>
  </si>
  <si>
    <t>B4I_2025_ND_4139</t>
  </si>
  <si>
    <t>B4I_2025_ND_4140</t>
  </si>
  <si>
    <t>B4I_2025_ND_4141</t>
  </si>
  <si>
    <t>B4I_2025_ND_4142</t>
  </si>
  <si>
    <t>B4I_2025_ND_4143</t>
  </si>
  <si>
    <t>B4I_2025_ND_4144</t>
  </si>
  <si>
    <t>B4I_2025_ND_4145</t>
  </si>
  <si>
    <t>B4I_2025_ND_4146</t>
  </si>
  <si>
    <t>B4I_2025_ND_4147</t>
  </si>
  <si>
    <t>B4I_2025_ND_4148</t>
  </si>
  <si>
    <t>B4I_2025_ND_4149</t>
  </si>
  <si>
    <t>B4I_2025_ND_4150</t>
  </si>
  <si>
    <t>B4I_2025_ND_4151</t>
  </si>
  <si>
    <t>B4I_2025_ND_4152</t>
  </si>
  <si>
    <t>B4I_2025_ND_4153</t>
  </si>
  <si>
    <t>B4I_2025_ND_4154</t>
  </si>
  <si>
    <t>B4I_2025_ND_4155</t>
  </si>
  <si>
    <t>B4I_2025_ND_4156</t>
  </si>
  <si>
    <t>B4I_2025_ND_4157</t>
  </si>
  <si>
    <t>B4I_2025_ND_4158</t>
  </si>
  <si>
    <t>B4I_2025_ND_4159</t>
  </si>
  <si>
    <t>B4I_2025_ND_4160</t>
  </si>
  <si>
    <t>B4I_2025_ND_4161</t>
  </si>
  <si>
    <t>B4I_2025_ND_4162</t>
  </si>
  <si>
    <t>B4I_2025_ND_4163</t>
  </si>
  <si>
    <t>B4I_2025_ND_4164</t>
  </si>
  <si>
    <t>B4I_2025_ND_4165</t>
  </si>
  <si>
    <t>B4I_2025_ND_4166</t>
  </si>
  <si>
    <t>B4I_2025_ND_4167</t>
  </si>
  <si>
    <t>B4I_2025_ND_4168</t>
  </si>
  <si>
    <t>B4I_2025_ND_4169</t>
  </si>
  <si>
    <t>B4I_2025_ND_4170</t>
  </si>
  <si>
    <t>B4I_2025_ND_4171</t>
  </si>
  <si>
    <t>B4I_2025_ND_4172</t>
  </si>
  <si>
    <t>B4I_2025_ND_4173</t>
  </si>
  <si>
    <t>B4I_2025_ND_4174</t>
  </si>
  <si>
    <t>B4I_2025_ND_4175</t>
  </si>
  <si>
    <t>B4I_2025_ND_4176</t>
  </si>
  <si>
    <t>B4I_2025_ND_4177</t>
  </si>
  <si>
    <t>B4I_2025_ND_4178</t>
  </si>
  <si>
    <t>B4I_2025_ND_4179</t>
  </si>
  <si>
    <t>B4I_2025_ND_4180</t>
  </si>
  <si>
    <t>B4I_2025_ND_4181</t>
  </si>
  <si>
    <t>B4I_2025_ND_4182</t>
  </si>
  <si>
    <t>B4I_2025_ND_4183</t>
  </si>
  <si>
    <t>B4I_2025_ND_4184</t>
  </si>
  <si>
    <t>B4I_2025_ND_4185</t>
  </si>
  <si>
    <t>B4I_2025_ND_4186</t>
  </si>
  <si>
    <t>B4I_2025_ND_4187</t>
  </si>
  <si>
    <t>B4I_2025_ND_4188</t>
  </si>
  <si>
    <t>B4I_2025_ND_4189</t>
  </si>
  <si>
    <t>B4I_2025_ND_4190</t>
  </si>
  <si>
    <t>B4I_2025_ND_4191</t>
  </si>
  <si>
    <t>B4I_2025_ND_4192</t>
  </si>
  <si>
    <t>B4I_2025_ND_4193</t>
  </si>
  <si>
    <t>B4I_2025_ND_4194</t>
  </si>
  <si>
    <t>B4I_2025_ND_4195</t>
  </si>
  <si>
    <t>B4I_2025_ND_4196</t>
  </si>
  <si>
    <t>B4I_2025_ND_4197</t>
  </si>
  <si>
    <t>B4I_2025_ND_4198</t>
  </si>
  <si>
    <t>B4I_2025_ND_4199</t>
  </si>
  <si>
    <t>B4I_2025_ND_4200</t>
  </si>
  <si>
    <t>B4I_2025_ND_4201</t>
  </si>
  <si>
    <t>B4I_2025_ND_4202</t>
  </si>
  <si>
    <t>B4I_2025_ND_4203</t>
  </si>
  <si>
    <t>B4I_2025_ND_4204</t>
  </si>
  <si>
    <t>B4I_2025_ND_4205</t>
  </si>
  <si>
    <t>B4I_2025_ND_4206</t>
  </si>
  <si>
    <t>B4I_2025_ND_4207</t>
  </si>
  <si>
    <t>B4I_2025_ND_4208</t>
  </si>
  <si>
    <t>B4I_2025_ND_4209</t>
  </si>
  <si>
    <t>B4I_2025_ND_4210</t>
  </si>
  <si>
    <t>B4I_2025_ND_4211</t>
  </si>
  <si>
    <t>B4I_2025_ND_4212</t>
  </si>
  <si>
    <t>B4I_2025_ND_4213</t>
  </si>
  <si>
    <t>B4I_2025_ND_4214</t>
  </si>
  <si>
    <t>B4I_2025_ND_4215</t>
  </si>
  <si>
    <t>B4I_2025_ND_4216</t>
  </si>
  <si>
    <t>B4I_2025_ND_4217</t>
  </si>
  <si>
    <t>B4I_2025_ND_4218</t>
  </si>
  <si>
    <t>B4I_2025_ND_4219</t>
  </si>
  <si>
    <t>B4I_2025_ND_4220</t>
  </si>
  <si>
    <t>B4I_2025_ND_4221</t>
  </si>
  <si>
    <t>B4I_2025_ND_4222</t>
  </si>
  <si>
    <t>B4I_2025_ND_4223</t>
  </si>
  <si>
    <t>B4I_2025_ND_4224</t>
  </si>
  <si>
    <t>B4I_2025_ND_4225</t>
  </si>
  <si>
    <t>B4I_2025_ND_4226</t>
  </si>
  <si>
    <t>B4I_2025_ND_4227</t>
  </si>
  <si>
    <t>B4I_2025_ND_4228</t>
  </si>
  <si>
    <t>B4I_2025_ND_4229</t>
  </si>
  <si>
    <t>B4I_2025_ND_4230</t>
  </si>
  <si>
    <t>B4I_2025_ND_4231</t>
  </si>
  <si>
    <t>B4I_2025_ND_4232</t>
  </si>
  <si>
    <t>B4I_2025_ND_4233</t>
  </si>
  <si>
    <t>B4I_2025_ND_4234</t>
  </si>
  <si>
    <t>B4I_2025_ND_4235</t>
  </si>
  <si>
    <t>B4I_2025_ND_4236</t>
  </si>
  <si>
    <t>B4I_2025_ND_4237</t>
  </si>
  <si>
    <t>B4I_2025_ND_4238</t>
  </si>
  <si>
    <t>B4I_2025_ND_4239</t>
  </si>
  <si>
    <t>B4I_2025_ND_4240</t>
  </si>
  <si>
    <t>B4I_2025_ND_4241</t>
  </si>
  <si>
    <t>B4I_2025_ND_4242</t>
  </si>
  <si>
    <t>B4I_2025_ND_4243</t>
  </si>
  <si>
    <t>B4I_2025_ND_4244</t>
  </si>
  <si>
    <t>B4I_2025_ND_4245</t>
  </si>
  <si>
    <t>B4I_2025_ND_4246</t>
  </si>
  <si>
    <t>B4I_2025_ND_4247</t>
  </si>
  <si>
    <t>B4I_2025_ND_4248</t>
  </si>
  <si>
    <t>B4I_2025_ND_4249</t>
  </si>
  <si>
    <t>B4I_2025_ND_4250</t>
  </si>
  <si>
    <t>B4I_2025_ND_4251</t>
  </si>
  <si>
    <t>B4I_2025_ND_4252</t>
  </si>
  <si>
    <t>B4I_2025_ND_4253</t>
  </si>
  <si>
    <t>B4I_2025_ND_4254</t>
  </si>
  <si>
    <t>B4I_2025_ND_4255</t>
  </si>
  <si>
    <t>B4I_2025_ND_4256</t>
  </si>
  <si>
    <t>B4I_2025_ND_4257</t>
  </si>
  <si>
    <t>B4I_2025_ND_4258</t>
  </si>
  <si>
    <t>B4I_2025_ND_4259</t>
  </si>
  <si>
    <t>B4I_2025_ND_4260</t>
  </si>
  <si>
    <t>B4I_2025_ND_4261</t>
  </si>
  <si>
    <t>B4I_2025_ND_4262</t>
  </si>
  <si>
    <t>B4I_2025_ND_4263</t>
  </si>
  <si>
    <t>B4I_2025_ND_4264</t>
  </si>
  <si>
    <t>B4I_2025_ND_4265</t>
  </si>
  <si>
    <t>B4I_2025_ND_4266</t>
  </si>
  <si>
    <t>B4I_2025_ND_4267</t>
  </si>
  <si>
    <t>B4I_2025_ND_4268</t>
  </si>
  <si>
    <t>B4I_2025_ND_4269</t>
  </si>
  <si>
    <t>B4I_2025_ND_4270</t>
  </si>
  <si>
    <t>B4I_2025_ND_4271</t>
  </si>
  <si>
    <t>B4I_2025_ND_4272</t>
  </si>
  <si>
    <t>B4I_2025_ND_4273</t>
  </si>
  <si>
    <t>B4I_2025_ND_4274</t>
  </si>
  <si>
    <t>B4I_2025_ND_4275</t>
  </si>
  <si>
    <t>B4I_2025_ND_4276</t>
  </si>
  <si>
    <t>B4I_2025_ND_4277</t>
  </si>
  <si>
    <t>B4I_2025_ND_4278</t>
  </si>
  <si>
    <t>B4I_2025_ND_4279</t>
  </si>
  <si>
    <t>B4I_2025_ND_4280</t>
  </si>
  <si>
    <t>B4I_2025_ND_4281</t>
  </si>
  <si>
    <t>B4I_2025_ND_4282</t>
  </si>
  <si>
    <t>B4I_2025_ND_4283</t>
  </si>
  <si>
    <t>B4I_2025_ND_4284</t>
  </si>
  <si>
    <t>B4I_2025_ND_4285</t>
  </si>
  <si>
    <t>B4I_2025_ND_4286</t>
  </si>
  <si>
    <t>B4I_2025_ND_4287</t>
  </si>
  <si>
    <t>B4I_2025_ND_4288</t>
  </si>
  <si>
    <t>B4I_2025_ND_4289</t>
  </si>
  <si>
    <t>B4I_2025_ND_4290</t>
  </si>
  <si>
    <t>B4I_2025_ND_4291</t>
  </si>
  <si>
    <t>B4I_2025_ND_4292</t>
  </si>
  <si>
    <t>B4I_2025_ND_4293</t>
  </si>
  <si>
    <t>B4I_2025_ND_4294</t>
  </si>
  <si>
    <t>B4I_2025_ND_4295</t>
  </si>
  <si>
    <t>B4I_2025_ND_4296</t>
  </si>
  <si>
    <t>B4I_2025_ND_4297</t>
  </si>
  <si>
    <t>B4I_2025_ND_4298</t>
  </si>
  <si>
    <t>B4I_2025_ND_4299</t>
  </si>
  <si>
    <t>B4I_2025_ND_4300</t>
  </si>
  <si>
    <t>B4I_2025_ND_4301</t>
  </si>
  <si>
    <t>B4I_2025_ND_4302</t>
  </si>
  <si>
    <t>B4I_2025_ND_4303</t>
  </si>
  <si>
    <t>B4I_2025_ND_4304</t>
  </si>
  <si>
    <t>B4I_2025_ND_4305</t>
  </si>
  <si>
    <t>B4I_2025_ND_4306</t>
  </si>
  <si>
    <t>B4I_2025_ND_4307</t>
  </si>
  <si>
    <t>B4I_2025_ND_4308</t>
  </si>
  <si>
    <t>B4I_2025_ND_4309</t>
  </si>
  <si>
    <t>B4I_2025_ND_4310</t>
  </si>
  <si>
    <t>B4I_2025_ND_4311</t>
  </si>
  <si>
    <t>B4I_2025_ND_4312</t>
  </si>
  <si>
    <t>B4I_2025_ND_4313</t>
  </si>
  <si>
    <t>B4I_2025_ND_4314</t>
  </si>
  <si>
    <t>B4I_2025_ND_4315</t>
  </si>
  <si>
    <t>B4I_2025_ND_4316</t>
  </si>
  <si>
    <t>B4I_2025_ND_4317</t>
  </si>
  <si>
    <t>B4I_2025_ND_4318</t>
  </si>
  <si>
    <t>B4I_2025_ND_4319</t>
  </si>
  <si>
    <t>B4I_2025_ND_4320</t>
  </si>
  <si>
    <t>B4I_2025_ND_4321</t>
  </si>
  <si>
    <t>B4I_2025_ND_4322</t>
  </si>
  <si>
    <t>B4I_2025_ND_4323</t>
  </si>
  <si>
    <t>B4I_2025_ND_4324</t>
  </si>
  <si>
    <t>B4I_2025_ND_4325</t>
  </si>
  <si>
    <t>B4I_2025_ND_4326</t>
  </si>
  <si>
    <t>B4I_2025_ND_4327</t>
  </si>
  <si>
    <t>B4I_2025_ND_4328</t>
  </si>
  <si>
    <t>B4I_2025_ND_4329</t>
  </si>
  <si>
    <t>B4I_2025_ND_4330</t>
  </si>
  <si>
    <t>B4I_2025_ND_4331</t>
  </si>
  <si>
    <t>B4I_2025_ND_4332</t>
  </si>
  <si>
    <t>B4I_2025_ND_4333</t>
  </si>
  <si>
    <t>B4I_2025_ND_4334</t>
  </si>
  <si>
    <t>B4I_2025_ND_4335</t>
  </si>
  <si>
    <t>B4I_2025_ND_4336</t>
  </si>
  <si>
    <t>B4I_2025_ND_4337</t>
  </si>
  <si>
    <t>B4I_2025_ND_4338</t>
  </si>
  <si>
    <t>B4I_2025_ND_4339</t>
  </si>
  <si>
    <t>B4I_2025_ND_4340</t>
  </si>
  <si>
    <t>B4I_2025_ND_4341</t>
  </si>
  <si>
    <t>B4I_2025_ND_4342</t>
  </si>
  <si>
    <t>B4I_2025_ND_4343</t>
  </si>
  <si>
    <t>B4I_2025_ND_4344</t>
  </si>
  <si>
    <t>B4I_2025_ND_4345</t>
  </si>
  <si>
    <t>B4I_2025_ND_4346</t>
  </si>
  <si>
    <t>B4I_2025_ND_4347</t>
  </si>
  <si>
    <t>B4I_2025_ND_4348</t>
  </si>
  <si>
    <t>B4I_2025_ND_4349</t>
  </si>
  <si>
    <t>B4I_2025_ND_4350</t>
  </si>
  <si>
    <t>B4I_2025_ND_4351</t>
  </si>
  <si>
    <t>B4I_2025_ND_4352</t>
  </si>
  <si>
    <t>B4I_2025_ND_4353</t>
  </si>
  <si>
    <t>B4I_2025_ND_4354</t>
  </si>
  <si>
    <t>B4I_2025_ND_4355</t>
  </si>
  <si>
    <t>B4I_2025_ND_4356</t>
  </si>
  <si>
    <t>B4I_2025_ND_4357</t>
  </si>
  <si>
    <t>B4I_2025_ND_4358</t>
  </si>
  <si>
    <t>B4I_2025_ND_4359</t>
  </si>
  <si>
    <t>B4I_2025_ND_4360</t>
  </si>
  <si>
    <t>B4I_2025_ND_4361</t>
  </si>
  <si>
    <t>B4I_2025_ND_4362</t>
  </si>
  <si>
    <t>B4I_2025_ND_4363</t>
  </si>
  <si>
    <t>B4I_2025_ND_4364</t>
  </si>
  <si>
    <t>B4I_2025_ND_4365</t>
  </si>
  <si>
    <t>B4I_2025_ND_4366</t>
  </si>
  <si>
    <t>B4I_2025_ND_4367</t>
  </si>
  <si>
    <t>B4I_2025_ND_4368</t>
  </si>
  <si>
    <t>B4I_2025_ND_4369</t>
  </si>
  <si>
    <t>B4I_2025_ND_4370</t>
  </si>
  <si>
    <t>B4I_2025_ND_4371</t>
  </si>
  <si>
    <t>B4I_2025_ND_4372</t>
  </si>
  <si>
    <t>B4I_2025_ND_4373</t>
  </si>
  <si>
    <t>B4I_2025_ND_4374</t>
  </si>
  <si>
    <t>B4I_2025_ND_4375</t>
  </si>
  <si>
    <t>B4I_2025_ND_4376</t>
  </si>
  <si>
    <t>B4I_2025_ND_4377</t>
  </si>
  <si>
    <t>B4I_2025_ND_4378</t>
  </si>
  <si>
    <t>B4I_2025_ND_4379</t>
  </si>
  <si>
    <t>B4I_2025_ND_4380</t>
  </si>
  <si>
    <t>B4I_2025_ND_4381</t>
  </si>
  <si>
    <t>B4I_2025_ND_4382</t>
  </si>
  <si>
    <t>B4I_2025_ND_4383</t>
  </si>
  <si>
    <t>B4I_2025_ND_4384</t>
  </si>
  <si>
    <t>B4I_2025_ND_4385</t>
  </si>
  <si>
    <t>B4I_2025_ND_4386</t>
  </si>
  <si>
    <t>B4I_2025_ND_4387</t>
  </si>
  <si>
    <t>B4I_2025_ND_4388</t>
  </si>
  <si>
    <t>B4I_2025_ND_4389</t>
  </si>
  <si>
    <t>B4I_2025_ND_4390</t>
  </si>
  <si>
    <t>B4I_2025_ND_4391</t>
  </si>
  <si>
    <t>B4I_2025_ND_4392</t>
  </si>
  <si>
    <t>B4I_2025_ND_4393</t>
  </si>
  <si>
    <t>B4I_2025_ND_4394</t>
  </si>
  <si>
    <t>B4I_2025_ND_4395</t>
  </si>
  <si>
    <t>B4I_2025_ND_4396</t>
  </si>
  <si>
    <t>B4I_2025_ND_4397</t>
  </si>
  <si>
    <t>B4I_2025_ND_4398</t>
  </si>
  <si>
    <t>B4I_2025_ND_4399</t>
  </si>
  <si>
    <t>B4I_2025_ND_4400</t>
  </si>
  <si>
    <t>plot_check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</si>
</sst>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right" wrapText="1"/>
    </xf>
    <xf numFmtId="2" fontId="1" fillId="0" borderId="0" xfId="0" applyNumberFormat="1" applyFont="1" applyAlignment="1">
      <alignment horizontal="right" wrapText="1"/>
    </xf>
    <xf numFmtId="0" fontId="0" fillId="2" borderId="0" xfId="0" applyFill="1" applyAlignment="1">
      <alignment horizontal="center"/>
    </xf>
    <xf numFmtId="2" fontId="1" fillId="2" borderId="0" xfId="0" applyNumberFormat="1" applyFont="1" applyFill="1" applyAlignment="1">
      <alignment horizontal="right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B55D3-C2BD-4574-B666-2E548C71909B}">
  <dimension ref="A1:C401"/>
  <sheetViews>
    <sheetView workbookViewId="0">
      <selection activeCell="I18" sqref="I18"/>
    </sheetView>
  </sheetViews>
  <sheetFormatPr defaultRowHeight="15" x14ac:dyDescent="0.25"/>
  <cols>
    <col min="1" max="1" width="21.5703125" bestFit="1" customWidth="1"/>
    <col min="2" max="2" width="34.85546875" bestFit="1" customWidth="1"/>
    <col min="3" max="3" width="36.42578125" bestFit="1" customWidth="1"/>
  </cols>
  <sheetData>
    <row r="1" spans="1:3" x14ac:dyDescent="0.25">
      <c r="A1" t="s">
        <v>441</v>
      </c>
      <c r="B1" t="s">
        <v>439</v>
      </c>
      <c r="C1" t="s">
        <v>440</v>
      </c>
    </row>
    <row r="2" spans="1:3" x14ac:dyDescent="0.25">
      <c r="A2" t="s">
        <v>442</v>
      </c>
      <c r="B2">
        <v>729.1</v>
      </c>
      <c r="C2">
        <v>116.16166805873715</v>
      </c>
    </row>
    <row r="3" spans="1:3" x14ac:dyDescent="0.25">
      <c r="A3" t="s">
        <v>443</v>
      </c>
      <c r="B3">
        <v>580.20000000000005</v>
      </c>
      <c r="C3">
        <v>92.438622696035253</v>
      </c>
    </row>
    <row r="4" spans="1:3" x14ac:dyDescent="0.25">
      <c r="A4" t="s">
        <v>444</v>
      </c>
      <c r="B4">
        <v>616.20000000000005</v>
      </c>
      <c r="C4">
        <v>98.174214590308381</v>
      </c>
    </row>
    <row r="5" spans="1:3" x14ac:dyDescent="0.25">
      <c r="A5" t="s">
        <v>445</v>
      </c>
      <c r="B5">
        <v>515.5</v>
      </c>
      <c r="C5">
        <v>82.130489486049925</v>
      </c>
    </row>
    <row r="6" spans="1:3" x14ac:dyDescent="0.25">
      <c r="A6" t="s">
        <v>446</v>
      </c>
      <c r="B6">
        <v>830.5</v>
      </c>
      <c r="C6">
        <v>132.3169185609398</v>
      </c>
    </row>
    <row r="7" spans="1:3" x14ac:dyDescent="0.25">
      <c r="A7" t="s">
        <v>447</v>
      </c>
      <c r="B7">
        <v>512.6</v>
      </c>
      <c r="C7">
        <v>81.668455694566831</v>
      </c>
    </row>
    <row r="8" spans="1:3" x14ac:dyDescent="0.25">
      <c r="A8" t="s">
        <v>448</v>
      </c>
      <c r="B8">
        <v>738.7</v>
      </c>
      <c r="C8">
        <v>117.69115923054333</v>
      </c>
    </row>
    <row r="9" spans="1:3" x14ac:dyDescent="0.25">
      <c r="A9" t="s">
        <v>449</v>
      </c>
      <c r="B9">
        <v>849.6</v>
      </c>
      <c r="C9">
        <v>135.35996870484581</v>
      </c>
    </row>
    <row r="10" spans="1:3" x14ac:dyDescent="0.25">
      <c r="A10" t="s">
        <v>450</v>
      </c>
      <c r="B10">
        <v>647.9</v>
      </c>
      <c r="C10">
        <v>103.22472189720997</v>
      </c>
    </row>
    <row r="11" spans="1:3" x14ac:dyDescent="0.25">
      <c r="A11" t="s">
        <v>451</v>
      </c>
      <c r="B11">
        <v>846</v>
      </c>
      <c r="C11">
        <v>134.78640951541848</v>
      </c>
    </row>
    <row r="12" spans="1:3" x14ac:dyDescent="0.25">
      <c r="A12" t="s">
        <v>452</v>
      </c>
      <c r="B12">
        <v>1058</v>
      </c>
      <c r="C12">
        <v>168.56267289280473</v>
      </c>
    </row>
    <row r="13" spans="1:3" x14ac:dyDescent="0.25">
      <c r="A13" t="s">
        <v>453</v>
      </c>
      <c r="B13">
        <v>758.1</v>
      </c>
      <c r="C13">
        <v>120.78200597356829</v>
      </c>
    </row>
    <row r="14" spans="1:3" x14ac:dyDescent="0.25">
      <c r="A14" t="s">
        <v>454</v>
      </c>
      <c r="B14">
        <v>695.4</v>
      </c>
      <c r="C14">
        <v>110.79251675770924</v>
      </c>
    </row>
    <row r="15" spans="1:3" x14ac:dyDescent="0.25">
      <c r="A15" t="s">
        <v>455</v>
      </c>
      <c r="B15">
        <v>646.4</v>
      </c>
      <c r="C15">
        <v>102.98573890161528</v>
      </c>
    </row>
    <row r="16" spans="1:3" x14ac:dyDescent="0.25">
      <c r="A16" t="s">
        <v>456</v>
      </c>
      <c r="B16">
        <v>658.2</v>
      </c>
      <c r="C16">
        <v>104.86573846696035</v>
      </c>
    </row>
    <row r="17" spans="1:3" x14ac:dyDescent="0.25">
      <c r="A17" t="s">
        <v>457</v>
      </c>
      <c r="B17">
        <v>768.4</v>
      </c>
      <c r="C17">
        <v>122.42302254331865</v>
      </c>
    </row>
    <row r="18" spans="1:3" x14ac:dyDescent="0.25">
      <c r="A18" t="s">
        <v>458</v>
      </c>
      <c r="B18">
        <v>602.4</v>
      </c>
      <c r="C18">
        <v>95.975571030837003</v>
      </c>
    </row>
    <row r="19" spans="1:3" x14ac:dyDescent="0.25">
      <c r="A19" t="s">
        <v>459</v>
      </c>
      <c r="B19">
        <v>782.8</v>
      </c>
      <c r="C19">
        <v>124.71725930102789</v>
      </c>
    </row>
    <row r="20" spans="1:3" x14ac:dyDescent="0.25">
      <c r="A20" t="s">
        <v>460</v>
      </c>
      <c r="B20">
        <v>751.5</v>
      </c>
      <c r="C20">
        <v>119.73048079295154</v>
      </c>
    </row>
    <row r="21" spans="1:3" x14ac:dyDescent="0.25">
      <c r="A21" t="s">
        <v>461</v>
      </c>
      <c r="B21">
        <v>861.6</v>
      </c>
      <c r="C21">
        <v>137.27183266960353</v>
      </c>
    </row>
    <row r="22" spans="1:3" x14ac:dyDescent="0.25">
      <c r="A22" t="s">
        <v>462</v>
      </c>
      <c r="B22">
        <v>1007.4</v>
      </c>
      <c r="C22">
        <v>160.5009798414097</v>
      </c>
    </row>
    <row r="23" spans="1:3" x14ac:dyDescent="0.25">
      <c r="A23" t="s">
        <v>463</v>
      </c>
      <c r="B23">
        <v>843.9</v>
      </c>
      <c r="C23">
        <v>134.45183332158592</v>
      </c>
    </row>
    <row r="24" spans="1:3" x14ac:dyDescent="0.25">
      <c r="A24" t="s">
        <v>464</v>
      </c>
      <c r="B24">
        <v>1297.8</v>
      </c>
      <c r="C24">
        <v>206.76808778854627</v>
      </c>
    </row>
    <row r="25" spans="1:3" x14ac:dyDescent="0.25">
      <c r="A25" t="s">
        <v>465</v>
      </c>
      <c r="B25">
        <v>990.8</v>
      </c>
      <c r="C25">
        <v>157.85623469016153</v>
      </c>
    </row>
    <row r="26" spans="1:3" x14ac:dyDescent="0.25">
      <c r="A26" t="s">
        <v>466</v>
      </c>
      <c r="B26">
        <v>1237.9000000000001</v>
      </c>
      <c r="C26">
        <v>197.22470016446402</v>
      </c>
    </row>
    <row r="27" spans="1:3" x14ac:dyDescent="0.25">
      <c r="A27" t="s">
        <v>467</v>
      </c>
      <c r="B27">
        <v>803.6</v>
      </c>
      <c r="C27">
        <v>128.03115683994127</v>
      </c>
    </row>
    <row r="28" spans="1:3" x14ac:dyDescent="0.25">
      <c r="A28" t="s">
        <v>468</v>
      </c>
      <c r="B28">
        <v>835.7</v>
      </c>
      <c r="C28">
        <v>133.14539294566814</v>
      </c>
    </row>
    <row r="29" spans="1:3" x14ac:dyDescent="0.25">
      <c r="A29" t="s">
        <v>469</v>
      </c>
      <c r="B29">
        <v>772.2</v>
      </c>
      <c r="C29">
        <v>123.02844613215859</v>
      </c>
    </row>
    <row r="30" spans="1:3" x14ac:dyDescent="0.25">
      <c r="A30" t="s">
        <v>470</v>
      </c>
      <c r="B30">
        <v>639.29999999999995</v>
      </c>
      <c r="C30">
        <v>101.85455272246696</v>
      </c>
    </row>
    <row r="31" spans="1:3" x14ac:dyDescent="0.25">
      <c r="A31" t="s">
        <v>471</v>
      </c>
      <c r="B31">
        <v>658.3</v>
      </c>
      <c r="C31">
        <v>104.88167066666666</v>
      </c>
    </row>
    <row r="32" spans="1:3" x14ac:dyDescent="0.25">
      <c r="A32" t="s">
        <v>472</v>
      </c>
      <c r="B32">
        <v>826</v>
      </c>
      <c r="C32">
        <v>131.59996957415564</v>
      </c>
    </row>
    <row r="33" spans="1:3" x14ac:dyDescent="0.25">
      <c r="A33" t="s">
        <v>473</v>
      </c>
      <c r="B33">
        <v>549.29999999999995</v>
      </c>
      <c r="C33">
        <v>87.515572986784136</v>
      </c>
    </row>
    <row r="34" spans="1:3" x14ac:dyDescent="0.25">
      <c r="A34" t="s">
        <v>474</v>
      </c>
      <c r="B34">
        <v>694</v>
      </c>
      <c r="C34">
        <v>110.56946596182085</v>
      </c>
    </row>
    <row r="35" spans="1:3" x14ac:dyDescent="0.25">
      <c r="A35" t="s">
        <v>475</v>
      </c>
      <c r="B35">
        <v>823.7</v>
      </c>
      <c r="C35">
        <v>131.23352898091042</v>
      </c>
    </row>
    <row r="36" spans="1:3" x14ac:dyDescent="0.25">
      <c r="A36" t="s">
        <v>476</v>
      </c>
      <c r="B36">
        <v>689.3</v>
      </c>
      <c r="C36">
        <v>109.82065257562407</v>
      </c>
    </row>
    <row r="37" spans="1:3" x14ac:dyDescent="0.25">
      <c r="A37" t="s">
        <v>477</v>
      </c>
      <c r="B37">
        <v>917.2</v>
      </c>
      <c r="C37">
        <v>146.13013570631426</v>
      </c>
    </row>
    <row r="38" spans="1:3" x14ac:dyDescent="0.25">
      <c r="A38" t="s">
        <v>478</v>
      </c>
      <c r="B38">
        <v>779</v>
      </c>
      <c r="C38">
        <v>124.11183571218794</v>
      </c>
    </row>
    <row r="39" spans="1:3" x14ac:dyDescent="0.25">
      <c r="A39" t="s">
        <v>479</v>
      </c>
      <c r="B39">
        <v>492.4</v>
      </c>
      <c r="C39">
        <v>78.450151353891329</v>
      </c>
    </row>
    <row r="40" spans="1:3" x14ac:dyDescent="0.25">
      <c r="A40" t="s">
        <v>480</v>
      </c>
      <c r="B40">
        <v>765.4</v>
      </c>
      <c r="C40">
        <v>121.94505655212923</v>
      </c>
    </row>
    <row r="41" spans="1:3" x14ac:dyDescent="0.25">
      <c r="A41" t="s">
        <v>481</v>
      </c>
      <c r="B41">
        <v>762.1</v>
      </c>
      <c r="C41">
        <v>121.41929396182084</v>
      </c>
    </row>
    <row r="42" spans="1:3" x14ac:dyDescent="0.25">
      <c r="A42" t="s">
        <v>482</v>
      </c>
      <c r="B42">
        <v>637.20000000000005</v>
      </c>
      <c r="C42">
        <v>105.02066537444934</v>
      </c>
    </row>
    <row r="43" spans="1:3" x14ac:dyDescent="0.25">
      <c r="A43" t="s">
        <v>483</v>
      </c>
      <c r="B43">
        <v>552.20000000000005</v>
      </c>
      <c r="C43">
        <v>91.011317356828187</v>
      </c>
    </row>
    <row r="44" spans="1:3" x14ac:dyDescent="0.25">
      <c r="A44" t="s">
        <v>484</v>
      </c>
      <c r="B44">
        <v>669.3</v>
      </c>
      <c r="C44">
        <v>110.3112544493392</v>
      </c>
    </row>
    <row r="45" spans="1:3" x14ac:dyDescent="0.25">
      <c r="A45" t="s">
        <v>485</v>
      </c>
      <c r="B45">
        <v>826</v>
      </c>
      <c r="C45">
        <v>136.13789955947135</v>
      </c>
    </row>
    <row r="46" spans="1:3" x14ac:dyDescent="0.25">
      <c r="A46" t="s">
        <v>486</v>
      </c>
      <c r="B46">
        <v>1045.2</v>
      </c>
      <c r="C46">
        <v>172.26553585903085</v>
      </c>
    </row>
    <row r="47" spans="1:3" x14ac:dyDescent="0.25">
      <c r="A47" t="s">
        <v>487</v>
      </c>
      <c r="B47">
        <v>902.2</v>
      </c>
      <c r="C47">
        <v>148.69686801762114</v>
      </c>
    </row>
    <row r="48" spans="1:3" x14ac:dyDescent="0.25">
      <c r="A48" t="s">
        <v>488</v>
      </c>
      <c r="B48">
        <v>954.9</v>
      </c>
      <c r="C48">
        <v>157.38266378854624</v>
      </c>
    </row>
    <row r="49" spans="1:3" x14ac:dyDescent="0.25">
      <c r="A49" t="s">
        <v>489</v>
      </c>
      <c r="B49">
        <v>858.7</v>
      </c>
      <c r="C49">
        <v>141.52737814977974</v>
      </c>
    </row>
    <row r="50" spans="1:3" x14ac:dyDescent="0.25">
      <c r="A50" t="s">
        <v>490</v>
      </c>
      <c r="B50">
        <v>625.1</v>
      </c>
      <c r="C50">
        <v>103.02639348017621</v>
      </c>
    </row>
    <row r="51" spans="1:3" x14ac:dyDescent="0.25">
      <c r="A51" t="s">
        <v>491</v>
      </c>
      <c r="B51">
        <v>818.3</v>
      </c>
      <c r="C51">
        <v>134.86881744493388</v>
      </c>
    </row>
    <row r="52" spans="1:3" x14ac:dyDescent="0.25">
      <c r="A52" t="s">
        <v>492</v>
      </c>
      <c r="B52">
        <v>1048.2</v>
      </c>
      <c r="C52">
        <v>172.75998343612335</v>
      </c>
    </row>
    <row r="53" spans="1:3" x14ac:dyDescent="0.25">
      <c r="A53" t="s">
        <v>493</v>
      </c>
      <c r="B53">
        <v>1000.8</v>
      </c>
      <c r="C53">
        <v>164.94771171806167</v>
      </c>
    </row>
    <row r="54" spans="1:3" x14ac:dyDescent="0.25">
      <c r="A54" t="s">
        <v>494</v>
      </c>
      <c r="B54">
        <v>1305</v>
      </c>
      <c r="C54">
        <v>215.08469603524227</v>
      </c>
    </row>
    <row r="55" spans="1:3" x14ac:dyDescent="0.25">
      <c r="A55" t="s">
        <v>495</v>
      </c>
      <c r="B55">
        <v>744.8</v>
      </c>
      <c r="C55">
        <v>122.75485180616738</v>
      </c>
    </row>
    <row r="56" spans="1:3" x14ac:dyDescent="0.25">
      <c r="A56" t="s">
        <v>496</v>
      </c>
      <c r="B56">
        <v>1069</v>
      </c>
      <c r="C56">
        <v>176.18815330396475</v>
      </c>
    </row>
    <row r="57" spans="1:3" x14ac:dyDescent="0.25">
      <c r="A57" t="s">
        <v>497</v>
      </c>
      <c r="B57">
        <v>974.4</v>
      </c>
      <c r="C57">
        <v>160.59657303964755</v>
      </c>
    </row>
    <row r="58" spans="1:3" x14ac:dyDescent="0.25">
      <c r="A58" t="s">
        <v>498</v>
      </c>
      <c r="B58">
        <v>592.4</v>
      </c>
      <c r="C58">
        <v>97.636914889867853</v>
      </c>
    </row>
    <row r="59" spans="1:3" x14ac:dyDescent="0.25">
      <c r="A59" t="s">
        <v>499</v>
      </c>
      <c r="B59">
        <v>942.7</v>
      </c>
      <c r="C59">
        <v>155.37191030837005</v>
      </c>
    </row>
    <row r="60" spans="1:3" x14ac:dyDescent="0.25">
      <c r="A60" t="s">
        <v>500</v>
      </c>
      <c r="B60">
        <v>767.9</v>
      </c>
      <c r="C60">
        <v>126.56209814977973</v>
      </c>
    </row>
    <row r="61" spans="1:3" x14ac:dyDescent="0.25">
      <c r="A61" t="s">
        <v>501</v>
      </c>
      <c r="B61">
        <v>1052.0999999999999</v>
      </c>
      <c r="C61">
        <v>173.40276528634359</v>
      </c>
    </row>
    <row r="62" spans="1:3" x14ac:dyDescent="0.25">
      <c r="A62" t="s">
        <v>502</v>
      </c>
      <c r="B62">
        <v>1099.9000000000001</v>
      </c>
      <c r="C62">
        <v>181.28096334801762</v>
      </c>
    </row>
    <row r="63" spans="1:3" x14ac:dyDescent="0.25">
      <c r="A63" t="s">
        <v>503</v>
      </c>
      <c r="B63">
        <v>1150</v>
      </c>
      <c r="C63">
        <v>189.53823788546256</v>
      </c>
    </row>
    <row r="64" spans="1:3" x14ac:dyDescent="0.25">
      <c r="A64" t="s">
        <v>504</v>
      </c>
      <c r="B64">
        <v>893.2</v>
      </c>
      <c r="C64">
        <v>147.21352528634361</v>
      </c>
    </row>
    <row r="65" spans="1:3" x14ac:dyDescent="0.25">
      <c r="A65" t="s">
        <v>505</v>
      </c>
      <c r="B65">
        <v>792.1</v>
      </c>
      <c r="C65">
        <v>130.55064193832598</v>
      </c>
    </row>
    <row r="66" spans="1:3" x14ac:dyDescent="0.25">
      <c r="A66" t="s">
        <v>506</v>
      </c>
      <c r="B66">
        <v>859.1</v>
      </c>
      <c r="C66">
        <v>141.59330449339208</v>
      </c>
    </row>
    <row r="67" spans="1:3" x14ac:dyDescent="0.25">
      <c r="A67" t="s">
        <v>507</v>
      </c>
      <c r="B67">
        <v>733.2</v>
      </c>
      <c r="C67">
        <v>120.84298784140969</v>
      </c>
    </row>
    <row r="68" spans="1:3" x14ac:dyDescent="0.25">
      <c r="A68" t="s">
        <v>508</v>
      </c>
      <c r="B68">
        <v>721.4</v>
      </c>
      <c r="C68">
        <v>118.89816070484582</v>
      </c>
    </row>
    <row r="69" spans="1:3" x14ac:dyDescent="0.25">
      <c r="A69" t="s">
        <v>509</v>
      </c>
      <c r="B69">
        <v>553.5</v>
      </c>
      <c r="C69">
        <v>91.225577973568278</v>
      </c>
    </row>
    <row r="70" spans="1:3" x14ac:dyDescent="0.25">
      <c r="A70" t="s">
        <v>510</v>
      </c>
      <c r="B70">
        <v>813.4</v>
      </c>
      <c r="C70">
        <v>134.06121973568281</v>
      </c>
    </row>
    <row r="71" spans="1:3" x14ac:dyDescent="0.25">
      <c r="A71" t="s">
        <v>511</v>
      </c>
      <c r="B71">
        <v>653.1</v>
      </c>
      <c r="C71">
        <v>107.64123753303966</v>
      </c>
    </row>
    <row r="72" spans="1:3" x14ac:dyDescent="0.25">
      <c r="A72" t="s">
        <v>512</v>
      </c>
      <c r="B72">
        <v>800.6</v>
      </c>
      <c r="C72">
        <v>131.95157674008811</v>
      </c>
    </row>
    <row r="73" spans="1:3" x14ac:dyDescent="0.25">
      <c r="A73" t="s">
        <v>513</v>
      </c>
      <c r="B73">
        <v>694.8</v>
      </c>
      <c r="C73">
        <v>114.51405885462555</v>
      </c>
    </row>
    <row r="74" spans="1:3" x14ac:dyDescent="0.25">
      <c r="A74" t="s">
        <v>514</v>
      </c>
      <c r="B74">
        <v>817</v>
      </c>
      <c r="C74">
        <v>134.65455682819385</v>
      </c>
    </row>
    <row r="75" spans="1:3" x14ac:dyDescent="0.25">
      <c r="A75" t="s">
        <v>515</v>
      </c>
      <c r="B75">
        <v>924.6</v>
      </c>
      <c r="C75">
        <v>152.38874325991188</v>
      </c>
    </row>
    <row r="76" spans="1:3" x14ac:dyDescent="0.25">
      <c r="A76" t="s">
        <v>516</v>
      </c>
      <c r="B76">
        <v>762.8</v>
      </c>
      <c r="C76">
        <v>125.72153726872247</v>
      </c>
    </row>
    <row r="77" spans="1:3" x14ac:dyDescent="0.25">
      <c r="A77" t="s">
        <v>517</v>
      </c>
      <c r="B77">
        <v>735.2</v>
      </c>
      <c r="C77">
        <v>121.17261955947137</v>
      </c>
    </row>
    <row r="78" spans="1:3" x14ac:dyDescent="0.25">
      <c r="A78" t="s">
        <v>518</v>
      </c>
      <c r="B78">
        <v>584.5</v>
      </c>
      <c r="C78">
        <v>96.334869603524226</v>
      </c>
    </row>
    <row r="79" spans="1:3" x14ac:dyDescent="0.25">
      <c r="A79" t="s">
        <v>519</v>
      </c>
      <c r="B79">
        <v>562.4</v>
      </c>
      <c r="C79">
        <v>92.69243911894273</v>
      </c>
    </row>
    <row r="80" spans="1:3" x14ac:dyDescent="0.25">
      <c r="A80" t="s">
        <v>520</v>
      </c>
      <c r="B80">
        <v>466.1</v>
      </c>
      <c r="C80">
        <v>76.820671894273133</v>
      </c>
    </row>
    <row r="81" spans="1:3" x14ac:dyDescent="0.25">
      <c r="A81" t="s">
        <v>521</v>
      </c>
      <c r="B81">
        <v>509</v>
      </c>
      <c r="C81">
        <v>83.891272246696033</v>
      </c>
    </row>
    <row r="82" spans="1:3" x14ac:dyDescent="0.25">
      <c r="A82" t="s">
        <v>522</v>
      </c>
      <c r="B82">
        <v>453.3</v>
      </c>
      <c r="C82">
        <v>72.220661268722466</v>
      </c>
    </row>
    <row r="83" spans="1:3" x14ac:dyDescent="0.25">
      <c r="A83" t="s">
        <v>523</v>
      </c>
      <c r="B83">
        <v>470.4</v>
      </c>
      <c r="C83">
        <v>74.945067418502205</v>
      </c>
    </row>
    <row r="84" spans="1:3" x14ac:dyDescent="0.25">
      <c r="A84" t="s">
        <v>524</v>
      </c>
      <c r="B84">
        <v>626.9</v>
      </c>
      <c r="C84">
        <v>99.878959958883996</v>
      </c>
    </row>
    <row r="85" spans="1:3" x14ac:dyDescent="0.25">
      <c r="A85" t="s">
        <v>525</v>
      </c>
      <c r="B85">
        <v>504.1</v>
      </c>
      <c r="C85">
        <v>80.314218719530118</v>
      </c>
    </row>
    <row r="86" spans="1:3" x14ac:dyDescent="0.25">
      <c r="A86" t="s">
        <v>526</v>
      </c>
      <c r="B86">
        <v>560.29999999999995</v>
      </c>
      <c r="C86">
        <v>89.26811495447869</v>
      </c>
    </row>
    <row r="87" spans="1:3" x14ac:dyDescent="0.25">
      <c r="A87" t="s">
        <v>527</v>
      </c>
      <c r="B87">
        <v>799.2</v>
      </c>
      <c r="C87">
        <v>127.33014005286346</v>
      </c>
    </row>
    <row r="88" spans="1:3" x14ac:dyDescent="0.25">
      <c r="A88" t="s">
        <v>528</v>
      </c>
      <c r="B88">
        <v>731.8</v>
      </c>
      <c r="C88">
        <v>116.59183745080763</v>
      </c>
    </row>
    <row r="89" spans="1:3" x14ac:dyDescent="0.25">
      <c r="A89" t="s">
        <v>529</v>
      </c>
      <c r="B89">
        <v>808.4</v>
      </c>
      <c r="C89">
        <v>128.79590242584433</v>
      </c>
    </row>
    <row r="90" spans="1:3" x14ac:dyDescent="0.25">
      <c r="A90" t="s">
        <v>530</v>
      </c>
      <c r="B90">
        <v>670.2</v>
      </c>
      <c r="C90">
        <v>106.77760243171807</v>
      </c>
    </row>
    <row r="91" spans="1:3" x14ac:dyDescent="0.25">
      <c r="A91" t="s">
        <v>531</v>
      </c>
      <c r="B91">
        <v>741</v>
      </c>
      <c r="C91">
        <v>118.05759982378855</v>
      </c>
    </row>
    <row r="92" spans="1:3" x14ac:dyDescent="0.25">
      <c r="A92" t="s">
        <v>532</v>
      </c>
      <c r="B92">
        <v>953.2</v>
      </c>
      <c r="C92">
        <v>151.86572760058738</v>
      </c>
    </row>
    <row r="93" spans="1:3" x14ac:dyDescent="0.25">
      <c r="A93" t="s">
        <v>533</v>
      </c>
      <c r="B93">
        <v>836.9</v>
      </c>
      <c r="C93">
        <v>133.33657934214392</v>
      </c>
    </row>
    <row r="94" spans="1:3" x14ac:dyDescent="0.25">
      <c r="A94" t="s">
        <v>534</v>
      </c>
      <c r="B94">
        <v>908.8</v>
      </c>
      <c r="C94">
        <v>144.79183093098382</v>
      </c>
    </row>
    <row r="95" spans="1:3" x14ac:dyDescent="0.25">
      <c r="A95" t="s">
        <v>535</v>
      </c>
      <c r="B95">
        <v>898.8</v>
      </c>
      <c r="C95">
        <v>143.1986109603524</v>
      </c>
    </row>
    <row r="96" spans="1:3" x14ac:dyDescent="0.25">
      <c r="A96" t="s">
        <v>536</v>
      </c>
      <c r="B96">
        <v>919.3</v>
      </c>
      <c r="C96">
        <v>146.46471190014685</v>
      </c>
    </row>
    <row r="97" spans="1:3" x14ac:dyDescent="0.25">
      <c r="A97" t="s">
        <v>537</v>
      </c>
      <c r="B97">
        <v>1015.3</v>
      </c>
      <c r="C97">
        <v>161.75962361820851</v>
      </c>
    </row>
    <row r="98" spans="1:3" x14ac:dyDescent="0.25">
      <c r="A98" t="s">
        <v>538</v>
      </c>
      <c r="B98">
        <v>775.3</v>
      </c>
      <c r="C98">
        <v>123.52234432305433</v>
      </c>
    </row>
    <row r="99" spans="1:3" x14ac:dyDescent="0.25">
      <c r="A99" t="s">
        <v>539</v>
      </c>
      <c r="B99">
        <v>1015.3</v>
      </c>
      <c r="C99">
        <v>161.75962361820851</v>
      </c>
    </row>
    <row r="100" spans="1:3" x14ac:dyDescent="0.25">
      <c r="A100" t="s">
        <v>540</v>
      </c>
      <c r="B100">
        <v>832.5</v>
      </c>
      <c r="C100">
        <v>132.63556255506609</v>
      </c>
    </row>
    <row r="101" spans="1:3" x14ac:dyDescent="0.25">
      <c r="A101" t="s">
        <v>541</v>
      </c>
      <c r="B101">
        <v>651.79999999999995</v>
      </c>
      <c r="C101">
        <v>103.84607768575624</v>
      </c>
    </row>
    <row r="102" spans="1:3" x14ac:dyDescent="0.25">
      <c r="A102" t="s">
        <v>542</v>
      </c>
      <c r="B102">
        <v>1029.9000000000001</v>
      </c>
      <c r="C102">
        <v>164.08572477533039</v>
      </c>
    </row>
    <row r="103" spans="1:3" x14ac:dyDescent="0.25">
      <c r="A103" t="s">
        <v>543</v>
      </c>
      <c r="B103">
        <v>907.6</v>
      </c>
      <c r="C103">
        <v>144.60064453450809</v>
      </c>
    </row>
    <row r="104" spans="1:3" x14ac:dyDescent="0.25">
      <c r="A104" t="s">
        <v>544</v>
      </c>
      <c r="B104">
        <v>908.3</v>
      </c>
      <c r="C104">
        <v>144.71216993245227</v>
      </c>
    </row>
    <row r="105" spans="1:3" x14ac:dyDescent="0.25">
      <c r="A105" t="s">
        <v>545</v>
      </c>
      <c r="B105">
        <v>883.5</v>
      </c>
      <c r="C105">
        <v>140.76098440528634</v>
      </c>
    </row>
    <row r="106" spans="1:3" x14ac:dyDescent="0.25">
      <c r="A106" t="s">
        <v>546</v>
      </c>
      <c r="B106">
        <v>889</v>
      </c>
      <c r="C106">
        <v>141.63725538913363</v>
      </c>
    </row>
    <row r="107" spans="1:3" x14ac:dyDescent="0.25">
      <c r="A107" t="s">
        <v>547</v>
      </c>
      <c r="B107">
        <v>884.3</v>
      </c>
      <c r="C107">
        <v>140.88844200293684</v>
      </c>
    </row>
    <row r="108" spans="1:3" x14ac:dyDescent="0.25">
      <c r="A108" t="s">
        <v>548</v>
      </c>
      <c r="B108">
        <v>858.6</v>
      </c>
      <c r="C108">
        <v>136.7938666784141</v>
      </c>
    </row>
    <row r="109" spans="1:3" x14ac:dyDescent="0.25">
      <c r="A109" t="s">
        <v>549</v>
      </c>
      <c r="B109">
        <v>945.8</v>
      </c>
      <c r="C109">
        <v>150.68674482232009</v>
      </c>
    </row>
    <row r="110" spans="1:3" x14ac:dyDescent="0.25">
      <c r="A110" t="s">
        <v>550</v>
      </c>
      <c r="B110">
        <v>611.1</v>
      </c>
      <c r="C110">
        <v>97.361672405286356</v>
      </c>
    </row>
    <row r="111" spans="1:3" x14ac:dyDescent="0.25">
      <c r="A111" t="s">
        <v>551</v>
      </c>
      <c r="B111">
        <v>812.4</v>
      </c>
      <c r="C111">
        <v>129.43319041409694</v>
      </c>
    </row>
    <row r="112" spans="1:3" x14ac:dyDescent="0.25">
      <c r="A112" t="s">
        <v>552</v>
      </c>
      <c r="B112">
        <v>945.5</v>
      </c>
      <c r="C112">
        <v>150.63894822320117</v>
      </c>
    </row>
    <row r="113" spans="1:3" x14ac:dyDescent="0.25">
      <c r="A113" t="s">
        <v>553</v>
      </c>
      <c r="B113">
        <v>586.9</v>
      </c>
      <c r="C113">
        <v>93.506080076358288</v>
      </c>
    </row>
    <row r="114" spans="1:3" x14ac:dyDescent="0.25">
      <c r="A114" t="s">
        <v>554</v>
      </c>
      <c r="B114">
        <v>867.6</v>
      </c>
      <c r="C114">
        <v>138.22776465198237</v>
      </c>
    </row>
    <row r="115" spans="1:3" x14ac:dyDescent="0.25">
      <c r="A115" t="s">
        <v>555</v>
      </c>
      <c r="B115">
        <v>954.7</v>
      </c>
      <c r="C115">
        <v>152.10471059618212</v>
      </c>
    </row>
    <row r="116" spans="1:3" x14ac:dyDescent="0.25">
      <c r="A116" t="s">
        <v>556</v>
      </c>
      <c r="B116">
        <v>1123.9000000000001</v>
      </c>
      <c r="C116">
        <v>179.06199249926578</v>
      </c>
    </row>
    <row r="117" spans="1:3" x14ac:dyDescent="0.25">
      <c r="A117" t="s">
        <v>557</v>
      </c>
      <c r="B117">
        <v>848.1</v>
      </c>
      <c r="C117">
        <v>135.1209857092511</v>
      </c>
    </row>
    <row r="118" spans="1:3" x14ac:dyDescent="0.25">
      <c r="A118" t="s">
        <v>558</v>
      </c>
      <c r="B118">
        <v>901.6</v>
      </c>
      <c r="C118">
        <v>143.64471255212922</v>
      </c>
    </row>
    <row r="119" spans="1:3" x14ac:dyDescent="0.25">
      <c r="A119" t="s">
        <v>559</v>
      </c>
      <c r="B119">
        <v>1090.8</v>
      </c>
      <c r="C119">
        <v>173.78843439647576</v>
      </c>
    </row>
    <row r="120" spans="1:3" x14ac:dyDescent="0.25">
      <c r="A120" t="s">
        <v>560</v>
      </c>
      <c r="B120">
        <v>1079.8</v>
      </c>
      <c r="C120">
        <v>172.03589242878121</v>
      </c>
    </row>
    <row r="121" spans="1:3" x14ac:dyDescent="0.25">
      <c r="A121" t="s">
        <v>561</v>
      </c>
      <c r="B121">
        <v>762.3</v>
      </c>
      <c r="C121">
        <v>121.45115836123348</v>
      </c>
    </row>
    <row r="122" spans="1:3" x14ac:dyDescent="0.25">
      <c r="A122" t="s">
        <v>562</v>
      </c>
      <c r="B122">
        <v>1133.9000000000001</v>
      </c>
      <c r="C122">
        <v>180.65521246989721</v>
      </c>
    </row>
    <row r="123" spans="1:3" x14ac:dyDescent="0.25">
      <c r="A123" t="s">
        <v>563</v>
      </c>
      <c r="B123">
        <v>854.9</v>
      </c>
      <c r="C123">
        <v>136.20437528928048</v>
      </c>
    </row>
    <row r="124" spans="1:3" x14ac:dyDescent="0.25">
      <c r="A124" t="s">
        <v>564</v>
      </c>
      <c r="B124">
        <v>1054.3</v>
      </c>
      <c r="C124">
        <v>167.97318150367107</v>
      </c>
    </row>
    <row r="125" spans="1:3" x14ac:dyDescent="0.25">
      <c r="A125" t="s">
        <v>565</v>
      </c>
      <c r="B125">
        <v>1063.3</v>
      </c>
      <c r="C125">
        <v>169.40707947723936</v>
      </c>
    </row>
    <row r="126" spans="1:3" x14ac:dyDescent="0.25">
      <c r="A126" t="s">
        <v>566</v>
      </c>
      <c r="B126">
        <v>953.8</v>
      </c>
      <c r="C126">
        <v>151.96132079882526</v>
      </c>
    </row>
    <row r="127" spans="1:3" x14ac:dyDescent="0.25">
      <c r="A127" t="s">
        <v>567</v>
      </c>
      <c r="B127">
        <v>1027</v>
      </c>
      <c r="C127">
        <v>163.62369098384727</v>
      </c>
    </row>
    <row r="128" spans="1:3" x14ac:dyDescent="0.25">
      <c r="A128" t="s">
        <v>568</v>
      </c>
      <c r="B128">
        <v>952.8</v>
      </c>
      <c r="C128">
        <v>151.80199880176212</v>
      </c>
    </row>
    <row r="129" spans="1:3" x14ac:dyDescent="0.25">
      <c r="A129" t="s">
        <v>569</v>
      </c>
      <c r="B129">
        <v>836.3</v>
      </c>
      <c r="C129">
        <v>133.24098614390601</v>
      </c>
    </row>
    <row r="130" spans="1:3" x14ac:dyDescent="0.25">
      <c r="A130" t="s">
        <v>570</v>
      </c>
      <c r="B130">
        <v>781.6</v>
      </c>
      <c r="C130">
        <v>124.52607290455212</v>
      </c>
    </row>
    <row r="131" spans="1:3" x14ac:dyDescent="0.25">
      <c r="A131" t="s">
        <v>571</v>
      </c>
      <c r="B131">
        <v>996.5</v>
      </c>
      <c r="C131">
        <v>158.76437007342145</v>
      </c>
    </row>
    <row r="132" spans="1:3" x14ac:dyDescent="0.25">
      <c r="A132" t="s">
        <v>572</v>
      </c>
      <c r="B132">
        <v>1078.7</v>
      </c>
      <c r="C132">
        <v>171.86063823201178</v>
      </c>
    </row>
    <row r="133" spans="1:3" x14ac:dyDescent="0.25">
      <c r="A133" t="s">
        <v>573</v>
      </c>
      <c r="B133">
        <v>850.1</v>
      </c>
      <c r="C133">
        <v>135.43962970337739</v>
      </c>
    </row>
    <row r="134" spans="1:3" x14ac:dyDescent="0.25">
      <c r="A134" t="s">
        <v>574</v>
      </c>
      <c r="B134">
        <v>759.1</v>
      </c>
      <c r="C134">
        <v>120.94132797063142</v>
      </c>
    </row>
    <row r="135" spans="1:3" x14ac:dyDescent="0.25">
      <c r="A135" t="s">
        <v>575</v>
      </c>
      <c r="B135">
        <v>829.9</v>
      </c>
      <c r="C135">
        <v>132.22132536270189</v>
      </c>
    </row>
    <row r="136" spans="1:3" x14ac:dyDescent="0.25">
      <c r="A136" t="s">
        <v>576</v>
      </c>
      <c r="B136">
        <v>1148.2</v>
      </c>
      <c r="C136">
        <v>182.93351702790017</v>
      </c>
    </row>
    <row r="137" spans="1:3" x14ac:dyDescent="0.25">
      <c r="A137" t="s">
        <v>577</v>
      </c>
      <c r="B137">
        <v>860.7</v>
      </c>
      <c r="C137">
        <v>137.12844287224669</v>
      </c>
    </row>
    <row r="138" spans="1:3" x14ac:dyDescent="0.25">
      <c r="A138" t="s">
        <v>578</v>
      </c>
      <c r="B138">
        <v>909.9</v>
      </c>
      <c r="C138">
        <v>144.96708512775331</v>
      </c>
    </row>
    <row r="139" spans="1:3" x14ac:dyDescent="0.25">
      <c r="A139" t="s">
        <v>579</v>
      </c>
      <c r="B139">
        <v>1126.7</v>
      </c>
      <c r="C139">
        <v>179.50809409104258</v>
      </c>
    </row>
    <row r="140" spans="1:3" x14ac:dyDescent="0.25">
      <c r="A140" t="s">
        <v>580</v>
      </c>
      <c r="B140">
        <v>956.4</v>
      </c>
      <c r="C140">
        <v>152.3755579911894</v>
      </c>
    </row>
    <row r="141" spans="1:3" x14ac:dyDescent="0.25">
      <c r="A141" t="s">
        <v>581</v>
      </c>
      <c r="B141">
        <v>1141</v>
      </c>
      <c r="C141">
        <v>181.78639864904551</v>
      </c>
    </row>
    <row r="142" spans="1:3" x14ac:dyDescent="0.25">
      <c r="A142" t="s">
        <v>582</v>
      </c>
      <c r="B142">
        <v>1108.3</v>
      </c>
      <c r="C142">
        <v>176.57656934508077</v>
      </c>
    </row>
    <row r="143" spans="1:3" x14ac:dyDescent="0.25">
      <c r="A143" t="s">
        <v>583</v>
      </c>
      <c r="B143">
        <v>917.2</v>
      </c>
      <c r="C143">
        <v>146.13013570631426</v>
      </c>
    </row>
    <row r="144" spans="1:3" x14ac:dyDescent="0.25">
      <c r="A144" t="s">
        <v>584</v>
      </c>
      <c r="B144">
        <v>846.1</v>
      </c>
      <c r="C144">
        <v>134.80234171512481</v>
      </c>
    </row>
    <row r="145" spans="1:3" x14ac:dyDescent="0.25">
      <c r="A145" t="s">
        <v>585</v>
      </c>
      <c r="B145">
        <v>760.6</v>
      </c>
      <c r="C145">
        <v>121.18031096622613</v>
      </c>
    </row>
    <row r="146" spans="1:3" x14ac:dyDescent="0.25">
      <c r="A146" t="s">
        <v>586</v>
      </c>
      <c r="B146">
        <v>852.7</v>
      </c>
      <c r="C146">
        <v>135.85386689574156</v>
      </c>
    </row>
    <row r="147" spans="1:3" x14ac:dyDescent="0.25">
      <c r="A147" t="s">
        <v>587</v>
      </c>
      <c r="B147">
        <v>893.6</v>
      </c>
      <c r="C147">
        <v>142.37013657562409</v>
      </c>
    </row>
    <row r="148" spans="1:3" x14ac:dyDescent="0.25">
      <c r="A148" t="s">
        <v>588</v>
      </c>
      <c r="B148">
        <v>817.3</v>
      </c>
      <c r="C148">
        <v>130.2138681997063</v>
      </c>
    </row>
    <row r="149" spans="1:3" x14ac:dyDescent="0.25">
      <c r="A149" t="s">
        <v>589</v>
      </c>
      <c r="B149">
        <v>1031.9000000000001</v>
      </c>
      <c r="C149">
        <v>164.40436876945671</v>
      </c>
    </row>
    <row r="150" spans="1:3" x14ac:dyDescent="0.25">
      <c r="A150" t="s">
        <v>590</v>
      </c>
      <c r="B150">
        <v>691.3</v>
      </c>
      <c r="C150">
        <v>110.13929656975037</v>
      </c>
    </row>
    <row r="151" spans="1:3" x14ac:dyDescent="0.25">
      <c r="A151" t="s">
        <v>591</v>
      </c>
      <c r="B151">
        <v>942.4</v>
      </c>
      <c r="C151">
        <v>150.14505003230542</v>
      </c>
    </row>
    <row r="152" spans="1:3" x14ac:dyDescent="0.25">
      <c r="A152" t="s">
        <v>592</v>
      </c>
      <c r="B152">
        <v>968.2</v>
      </c>
      <c r="C152">
        <v>154.25555755653454</v>
      </c>
    </row>
    <row r="153" spans="1:3" x14ac:dyDescent="0.25">
      <c r="A153" t="s">
        <v>593</v>
      </c>
      <c r="B153">
        <v>784.9</v>
      </c>
      <c r="C153">
        <v>125.0518354948605</v>
      </c>
    </row>
    <row r="154" spans="1:3" x14ac:dyDescent="0.25">
      <c r="A154" t="s">
        <v>594</v>
      </c>
      <c r="B154">
        <v>917.4</v>
      </c>
      <c r="C154">
        <v>146.16200010572686</v>
      </c>
    </row>
    <row r="155" spans="1:3" x14ac:dyDescent="0.25">
      <c r="A155" t="s">
        <v>595</v>
      </c>
      <c r="B155">
        <v>646.9</v>
      </c>
      <c r="C155">
        <v>103.06539990014684</v>
      </c>
    </row>
    <row r="156" spans="1:3" x14ac:dyDescent="0.25">
      <c r="A156" t="s">
        <v>596</v>
      </c>
      <c r="B156">
        <v>811.2</v>
      </c>
      <c r="C156">
        <v>129.24200401762116</v>
      </c>
    </row>
    <row r="157" spans="1:3" x14ac:dyDescent="0.25">
      <c r="A157" t="s">
        <v>597</v>
      </c>
      <c r="B157">
        <v>584.9</v>
      </c>
      <c r="C157">
        <v>93.187436082232011</v>
      </c>
    </row>
    <row r="158" spans="1:3" x14ac:dyDescent="0.25">
      <c r="A158" t="s">
        <v>598</v>
      </c>
      <c r="B158">
        <v>797.7</v>
      </c>
      <c r="C158">
        <v>127.09115705726875</v>
      </c>
    </row>
    <row r="159" spans="1:3" x14ac:dyDescent="0.25">
      <c r="A159" t="s">
        <v>599</v>
      </c>
      <c r="B159">
        <v>731.9</v>
      </c>
      <c r="C159">
        <v>116.60776965051396</v>
      </c>
    </row>
    <row r="160" spans="1:3" x14ac:dyDescent="0.25">
      <c r="A160" t="s">
        <v>600</v>
      </c>
      <c r="B160">
        <v>393</v>
      </c>
      <c r="C160">
        <v>62.613544845814971</v>
      </c>
    </row>
    <row r="161" spans="1:3" x14ac:dyDescent="0.25">
      <c r="A161" t="s">
        <v>601</v>
      </c>
      <c r="B161">
        <v>552.6</v>
      </c>
      <c r="C161">
        <v>88.041335577092525</v>
      </c>
    </row>
    <row r="162" spans="1:3" x14ac:dyDescent="0.25">
      <c r="A162" t="s">
        <v>602</v>
      </c>
      <c r="B162">
        <v>299.8</v>
      </c>
      <c r="C162">
        <v>46.223936825351714</v>
      </c>
    </row>
    <row r="163" spans="1:3" x14ac:dyDescent="0.25">
      <c r="A163" t="s">
        <v>603</v>
      </c>
      <c r="B163">
        <v>585.70000000000005</v>
      </c>
      <c r="C163">
        <v>90.304735819241159</v>
      </c>
    </row>
    <row r="164" spans="1:3" x14ac:dyDescent="0.25">
      <c r="A164" t="s">
        <v>604</v>
      </c>
      <c r="B164">
        <v>608.79999999999995</v>
      </c>
      <c r="C164">
        <v>93.866353366491396</v>
      </c>
    </row>
    <row r="165" spans="1:3" x14ac:dyDescent="0.25">
      <c r="A165" t="s">
        <v>605</v>
      </c>
      <c r="B165">
        <v>862.9</v>
      </c>
      <c r="C165">
        <v>133.04414638624414</v>
      </c>
    </row>
    <row r="166" spans="1:3" x14ac:dyDescent="0.25">
      <c r="A166" t="s">
        <v>606</v>
      </c>
      <c r="B166">
        <v>813.8</v>
      </c>
      <c r="C166">
        <v>125.47378181611484</v>
      </c>
    </row>
    <row r="167" spans="1:3" x14ac:dyDescent="0.25">
      <c r="A167" t="s">
        <v>607</v>
      </c>
      <c r="B167">
        <v>770.5</v>
      </c>
      <c r="C167">
        <v>118.79767619724313</v>
      </c>
    </row>
    <row r="168" spans="1:3" x14ac:dyDescent="0.25">
      <c r="A168" t="s">
        <v>608</v>
      </c>
      <c r="B168">
        <v>552.70000000000005</v>
      </c>
      <c r="C168">
        <v>85.216710751740806</v>
      </c>
    </row>
    <row r="169" spans="1:3" x14ac:dyDescent="0.25">
      <c r="A169" t="s">
        <v>609</v>
      </c>
      <c r="B169">
        <v>797.9</v>
      </c>
      <c r="C169">
        <v>123.02227882904648</v>
      </c>
    </row>
    <row r="170" spans="1:3" x14ac:dyDescent="0.25">
      <c r="A170" t="s">
        <v>610</v>
      </c>
      <c r="B170">
        <v>1084.2</v>
      </c>
      <c r="C170">
        <v>167.16475085405713</v>
      </c>
    </row>
    <row r="171" spans="1:3" x14ac:dyDescent="0.25">
      <c r="A171" t="s">
        <v>611</v>
      </c>
      <c r="B171">
        <v>829.7</v>
      </c>
      <c r="C171">
        <v>127.92528480318319</v>
      </c>
    </row>
    <row r="172" spans="1:3" x14ac:dyDescent="0.25">
      <c r="A172" t="s">
        <v>612</v>
      </c>
      <c r="B172">
        <v>830.9</v>
      </c>
      <c r="C172">
        <v>128.11030389654684</v>
      </c>
    </row>
    <row r="173" spans="1:3" x14ac:dyDescent="0.25">
      <c r="A173" t="s">
        <v>613</v>
      </c>
      <c r="B173">
        <v>925.5</v>
      </c>
      <c r="C173">
        <v>142.69597575671455</v>
      </c>
    </row>
    <row r="174" spans="1:3" x14ac:dyDescent="0.25">
      <c r="A174" t="s">
        <v>614</v>
      </c>
      <c r="B174">
        <v>857.5</v>
      </c>
      <c r="C174">
        <v>132.21156046610773</v>
      </c>
    </row>
    <row r="175" spans="1:3" x14ac:dyDescent="0.25">
      <c r="A175" t="s">
        <v>615</v>
      </c>
      <c r="B175">
        <v>692.6</v>
      </c>
      <c r="C175">
        <v>106.78685338638626</v>
      </c>
    </row>
    <row r="176" spans="1:3" x14ac:dyDescent="0.25">
      <c r="A176" t="s">
        <v>616</v>
      </c>
      <c r="B176">
        <v>705</v>
      </c>
      <c r="C176">
        <v>108.69871735114396</v>
      </c>
    </row>
    <row r="177" spans="1:3" x14ac:dyDescent="0.25">
      <c r="A177" t="s">
        <v>617</v>
      </c>
      <c r="B177">
        <v>823.3</v>
      </c>
      <c r="C177">
        <v>126.93851630524371</v>
      </c>
    </row>
    <row r="178" spans="1:3" x14ac:dyDescent="0.25">
      <c r="A178" t="s">
        <v>618</v>
      </c>
      <c r="B178">
        <v>962.7</v>
      </c>
      <c r="C178">
        <v>148.43156765098766</v>
      </c>
    </row>
    <row r="179" spans="1:3" x14ac:dyDescent="0.25">
      <c r="A179" t="s">
        <v>619</v>
      </c>
      <c r="B179">
        <v>1144.9000000000001</v>
      </c>
      <c r="C179">
        <v>176.52363332670174</v>
      </c>
    </row>
    <row r="180" spans="1:3" x14ac:dyDescent="0.25">
      <c r="A180" t="s">
        <v>620</v>
      </c>
      <c r="B180">
        <v>709.9</v>
      </c>
      <c r="C180">
        <v>109.45421198237884</v>
      </c>
    </row>
    <row r="181" spans="1:3" x14ac:dyDescent="0.25">
      <c r="A181" t="s">
        <v>621</v>
      </c>
      <c r="B181">
        <v>818.9</v>
      </c>
      <c r="C181">
        <v>126.26011296291033</v>
      </c>
    </row>
    <row r="182" spans="1:3" x14ac:dyDescent="0.25">
      <c r="A182" t="s">
        <v>622</v>
      </c>
      <c r="B182">
        <v>795.6</v>
      </c>
      <c r="C182">
        <v>122.66765890009947</v>
      </c>
    </row>
    <row r="183" spans="1:3" x14ac:dyDescent="0.25">
      <c r="A183" t="s">
        <v>623</v>
      </c>
      <c r="B183">
        <v>783.9</v>
      </c>
      <c r="C183">
        <v>120.86372273980389</v>
      </c>
    </row>
    <row r="184" spans="1:3" x14ac:dyDescent="0.25">
      <c r="A184" t="s">
        <v>624</v>
      </c>
      <c r="B184">
        <v>929.9</v>
      </c>
      <c r="C184">
        <v>143.3743790990479</v>
      </c>
    </row>
    <row r="185" spans="1:3" x14ac:dyDescent="0.25">
      <c r="A185" t="s">
        <v>625</v>
      </c>
      <c r="B185">
        <v>927</v>
      </c>
      <c r="C185">
        <v>142.92724962341907</v>
      </c>
    </row>
    <row r="186" spans="1:3" x14ac:dyDescent="0.25">
      <c r="A186" t="s">
        <v>626</v>
      </c>
      <c r="B186">
        <v>1183.5</v>
      </c>
      <c r="C186">
        <v>182.4750808298991</v>
      </c>
    </row>
    <row r="187" spans="1:3" x14ac:dyDescent="0.25">
      <c r="A187" t="s">
        <v>627</v>
      </c>
      <c r="B187">
        <v>965</v>
      </c>
      <c r="C187">
        <v>148.78618757993465</v>
      </c>
    </row>
    <row r="188" spans="1:3" x14ac:dyDescent="0.25">
      <c r="A188" t="s">
        <v>628</v>
      </c>
      <c r="B188">
        <v>778.2</v>
      </c>
      <c r="C188">
        <v>119.98488204632656</v>
      </c>
    </row>
    <row r="189" spans="1:3" x14ac:dyDescent="0.25">
      <c r="A189" t="s">
        <v>629</v>
      </c>
      <c r="B189">
        <v>821.4</v>
      </c>
      <c r="C189">
        <v>126.64556940741795</v>
      </c>
    </row>
    <row r="190" spans="1:3" x14ac:dyDescent="0.25">
      <c r="A190" t="s">
        <v>630</v>
      </c>
      <c r="B190">
        <v>859.2</v>
      </c>
      <c r="C190">
        <v>132.4736708483729</v>
      </c>
    </row>
    <row r="191" spans="1:3" x14ac:dyDescent="0.25">
      <c r="A191" t="s">
        <v>631</v>
      </c>
      <c r="B191">
        <v>1004</v>
      </c>
      <c r="C191">
        <v>154.79930811425322</v>
      </c>
    </row>
    <row r="192" spans="1:3" x14ac:dyDescent="0.25">
      <c r="A192" t="s">
        <v>632</v>
      </c>
      <c r="B192">
        <v>960.9</v>
      </c>
      <c r="C192">
        <v>148.15403901094217</v>
      </c>
    </row>
    <row r="193" spans="1:3" x14ac:dyDescent="0.25">
      <c r="A193" t="s">
        <v>633</v>
      </c>
      <c r="B193">
        <v>725.5</v>
      </c>
      <c r="C193">
        <v>111.8594601961063</v>
      </c>
    </row>
    <row r="194" spans="1:3" x14ac:dyDescent="0.25">
      <c r="A194" t="s">
        <v>634</v>
      </c>
      <c r="B194">
        <v>775.7</v>
      </c>
      <c r="C194">
        <v>119.59942560181898</v>
      </c>
    </row>
    <row r="195" spans="1:3" x14ac:dyDescent="0.25">
      <c r="A195" t="s">
        <v>635</v>
      </c>
      <c r="B195">
        <v>705.5</v>
      </c>
      <c r="C195">
        <v>108.77580864004547</v>
      </c>
    </row>
    <row r="196" spans="1:3" x14ac:dyDescent="0.25">
      <c r="A196" t="s">
        <v>636</v>
      </c>
      <c r="B196">
        <v>997.8</v>
      </c>
      <c r="C196">
        <v>153.84337613187435</v>
      </c>
    </row>
    <row r="197" spans="1:3" x14ac:dyDescent="0.25">
      <c r="A197" t="s">
        <v>637</v>
      </c>
      <c r="B197">
        <v>849.1</v>
      </c>
      <c r="C197">
        <v>130.91642681256218</v>
      </c>
    </row>
    <row r="198" spans="1:3" x14ac:dyDescent="0.25">
      <c r="A198" t="s">
        <v>638</v>
      </c>
      <c r="B198">
        <v>986.8</v>
      </c>
      <c r="C198">
        <v>152.14736777604094</v>
      </c>
    </row>
    <row r="199" spans="1:3" x14ac:dyDescent="0.25">
      <c r="A199" t="s">
        <v>639</v>
      </c>
      <c r="B199">
        <v>643.9</v>
      </c>
      <c r="C199">
        <v>99.278161847378144</v>
      </c>
    </row>
    <row r="200" spans="1:3" x14ac:dyDescent="0.25">
      <c r="A200" t="s">
        <v>640</v>
      </c>
      <c r="B200">
        <v>844.9</v>
      </c>
      <c r="C200">
        <v>130.26885998578939</v>
      </c>
    </row>
    <row r="201" spans="1:3" x14ac:dyDescent="0.25">
      <c r="A201" t="s">
        <v>641</v>
      </c>
      <c r="B201">
        <v>980</v>
      </c>
      <c r="C201">
        <v>151.09892624698026</v>
      </c>
    </row>
    <row r="202" spans="1:3" x14ac:dyDescent="0.25">
      <c r="A202" t="s">
        <v>642</v>
      </c>
      <c r="B202">
        <v>1171.5999999999999</v>
      </c>
      <c r="C202">
        <v>186.66165175917769</v>
      </c>
    </row>
    <row r="203" spans="1:3" x14ac:dyDescent="0.25">
      <c r="A203" t="s">
        <v>643</v>
      </c>
      <c r="B203">
        <v>822.5</v>
      </c>
      <c r="C203">
        <v>131.04234258443466</v>
      </c>
    </row>
    <row r="204" spans="1:3" x14ac:dyDescent="0.25">
      <c r="A204" t="s">
        <v>644</v>
      </c>
      <c r="B204">
        <v>983</v>
      </c>
      <c r="C204">
        <v>156.61352311306902</v>
      </c>
    </row>
    <row r="205" spans="1:3" x14ac:dyDescent="0.25">
      <c r="A205" t="s">
        <v>645</v>
      </c>
      <c r="B205">
        <v>1015.1</v>
      </c>
      <c r="C205">
        <v>161.72775921879591</v>
      </c>
    </row>
    <row r="206" spans="1:3" x14ac:dyDescent="0.25">
      <c r="A206" t="s">
        <v>646</v>
      </c>
      <c r="B206">
        <v>1261.8</v>
      </c>
      <c r="C206">
        <v>201.03249589427313</v>
      </c>
    </row>
    <row r="207" spans="1:3" x14ac:dyDescent="0.25">
      <c r="A207" t="s">
        <v>647</v>
      </c>
      <c r="B207">
        <v>968.1</v>
      </c>
      <c r="C207">
        <v>154.23962535682821</v>
      </c>
    </row>
    <row r="208" spans="1:3" x14ac:dyDescent="0.25">
      <c r="A208" t="s">
        <v>648</v>
      </c>
      <c r="B208">
        <v>977.2</v>
      </c>
      <c r="C208">
        <v>155.68945553010278</v>
      </c>
    </row>
    <row r="209" spans="1:3" x14ac:dyDescent="0.25">
      <c r="A209" t="s">
        <v>649</v>
      </c>
      <c r="B209">
        <v>1301</v>
      </c>
      <c r="C209">
        <v>207.27791817914832</v>
      </c>
    </row>
    <row r="210" spans="1:3" x14ac:dyDescent="0.25">
      <c r="A210" t="s">
        <v>650</v>
      </c>
      <c r="B210">
        <v>1285.8</v>
      </c>
      <c r="C210">
        <v>204.85622382378853</v>
      </c>
    </row>
    <row r="211" spans="1:3" x14ac:dyDescent="0.25">
      <c r="A211" t="s">
        <v>651</v>
      </c>
      <c r="B211">
        <v>1026.0999999999999</v>
      </c>
      <c r="C211">
        <v>163.48030118649044</v>
      </c>
    </row>
    <row r="212" spans="1:3" x14ac:dyDescent="0.25">
      <c r="A212" t="s">
        <v>652</v>
      </c>
      <c r="B212">
        <v>1092.5999999999999</v>
      </c>
      <c r="C212">
        <v>174.0752139911894</v>
      </c>
    </row>
    <row r="213" spans="1:3" x14ac:dyDescent="0.25">
      <c r="A213" t="s">
        <v>653</v>
      </c>
      <c r="B213">
        <v>1025.8</v>
      </c>
      <c r="C213">
        <v>163.43250458737151</v>
      </c>
    </row>
    <row r="214" spans="1:3" x14ac:dyDescent="0.25">
      <c r="A214" t="s">
        <v>654</v>
      </c>
      <c r="B214">
        <v>674.1</v>
      </c>
      <c r="C214">
        <v>107.39895822026433</v>
      </c>
    </row>
    <row r="215" spans="1:3" x14ac:dyDescent="0.25">
      <c r="A215" t="s">
        <v>655</v>
      </c>
      <c r="B215">
        <v>1054.2</v>
      </c>
      <c r="C215">
        <v>167.95724930396477</v>
      </c>
    </row>
    <row r="216" spans="1:3" x14ac:dyDescent="0.25">
      <c r="A216" t="s">
        <v>656</v>
      </c>
      <c r="B216">
        <v>797.3</v>
      </c>
      <c r="C216">
        <v>127.02742825844348</v>
      </c>
    </row>
    <row r="217" spans="1:3" x14ac:dyDescent="0.25">
      <c r="A217" t="s">
        <v>657</v>
      </c>
      <c r="B217">
        <v>558.70000000000005</v>
      </c>
      <c r="C217">
        <v>89.013199759177695</v>
      </c>
    </row>
    <row r="218" spans="1:3" x14ac:dyDescent="0.25">
      <c r="A218" t="s">
        <v>658</v>
      </c>
      <c r="B218">
        <v>728.5</v>
      </c>
      <c r="C218">
        <v>116.06607486049927</v>
      </c>
    </row>
    <row r="219" spans="1:3" x14ac:dyDescent="0.25">
      <c r="A219" t="s">
        <v>659</v>
      </c>
      <c r="B219">
        <v>1232.9000000000001</v>
      </c>
      <c r="C219">
        <v>196.42809017914831</v>
      </c>
    </row>
    <row r="220" spans="1:3" x14ac:dyDescent="0.25">
      <c r="A220" t="s">
        <v>660</v>
      </c>
      <c r="B220">
        <v>1054.9000000000001</v>
      </c>
      <c r="C220">
        <v>168.06877470190898</v>
      </c>
    </row>
    <row r="221" spans="1:3" x14ac:dyDescent="0.25">
      <c r="A221" t="s">
        <v>661</v>
      </c>
      <c r="B221">
        <v>866</v>
      </c>
      <c r="C221">
        <v>137.97284945668133</v>
      </c>
    </row>
    <row r="222" spans="1:3" x14ac:dyDescent="0.25">
      <c r="A222" t="s">
        <v>662</v>
      </c>
      <c r="B222">
        <v>1159.8</v>
      </c>
      <c r="C222">
        <v>184.78165219383257</v>
      </c>
    </row>
    <row r="223" spans="1:3" x14ac:dyDescent="0.25">
      <c r="A223" t="s">
        <v>663</v>
      </c>
      <c r="B223">
        <v>845.1</v>
      </c>
      <c r="C223">
        <v>134.64301971806168</v>
      </c>
    </row>
    <row r="224" spans="1:3" x14ac:dyDescent="0.25">
      <c r="A224" t="s">
        <v>664</v>
      </c>
      <c r="B224">
        <v>895.7</v>
      </c>
      <c r="C224">
        <v>142.70471276945668</v>
      </c>
    </row>
    <row r="225" spans="1:3" x14ac:dyDescent="0.25">
      <c r="A225" t="s">
        <v>665</v>
      </c>
      <c r="B225">
        <v>1179.2</v>
      </c>
      <c r="C225">
        <v>187.87249893685757</v>
      </c>
    </row>
    <row r="226" spans="1:3" x14ac:dyDescent="0.25">
      <c r="A226" t="s">
        <v>666</v>
      </c>
      <c r="B226">
        <v>1346.4</v>
      </c>
      <c r="C226">
        <v>214.51113684581497</v>
      </c>
    </row>
    <row r="227" spans="1:3" x14ac:dyDescent="0.25">
      <c r="A227" t="s">
        <v>667</v>
      </c>
      <c r="B227">
        <v>1020.9</v>
      </c>
      <c r="C227">
        <v>162.6518268017621</v>
      </c>
    </row>
    <row r="228" spans="1:3" x14ac:dyDescent="0.25">
      <c r="A228" t="s">
        <v>668</v>
      </c>
      <c r="B228">
        <v>1379.8</v>
      </c>
      <c r="C228">
        <v>219.83249154772395</v>
      </c>
    </row>
    <row r="229" spans="1:3" x14ac:dyDescent="0.25">
      <c r="A229" t="s">
        <v>669</v>
      </c>
      <c r="B229">
        <v>1138.9000000000001</v>
      </c>
      <c r="C229">
        <v>181.45182245521292</v>
      </c>
    </row>
    <row r="230" spans="1:3" x14ac:dyDescent="0.25">
      <c r="A230" t="s">
        <v>670</v>
      </c>
      <c r="B230">
        <v>859.8</v>
      </c>
      <c r="C230">
        <v>136.98505307488986</v>
      </c>
    </row>
    <row r="231" spans="1:3" x14ac:dyDescent="0.25">
      <c r="A231" t="s">
        <v>671</v>
      </c>
      <c r="B231">
        <v>1113.5999999999999</v>
      </c>
      <c r="C231">
        <v>177.42097592951541</v>
      </c>
    </row>
    <row r="232" spans="1:3" x14ac:dyDescent="0.25">
      <c r="A232" t="s">
        <v>672</v>
      </c>
      <c r="B232">
        <v>708.5</v>
      </c>
      <c r="C232">
        <v>112.87963491923642</v>
      </c>
    </row>
    <row r="233" spans="1:3" x14ac:dyDescent="0.25">
      <c r="A233" t="s">
        <v>673</v>
      </c>
      <c r="B233">
        <v>1040.9000000000001</v>
      </c>
      <c r="C233">
        <v>165.83826674302497</v>
      </c>
    </row>
    <row r="234" spans="1:3" x14ac:dyDescent="0.25">
      <c r="A234" t="s">
        <v>674</v>
      </c>
      <c r="B234">
        <v>1156.8</v>
      </c>
      <c r="C234">
        <v>184.30368620264315</v>
      </c>
    </row>
    <row r="235" spans="1:3" x14ac:dyDescent="0.25">
      <c r="A235" t="s">
        <v>675</v>
      </c>
      <c r="B235">
        <v>936.8</v>
      </c>
      <c r="C235">
        <v>149.25284684875183</v>
      </c>
    </row>
    <row r="236" spans="1:3" x14ac:dyDescent="0.25">
      <c r="A236" t="s">
        <v>676</v>
      </c>
      <c r="B236">
        <v>1029.5</v>
      </c>
      <c r="C236">
        <v>164.02199597650514</v>
      </c>
    </row>
    <row r="237" spans="1:3" x14ac:dyDescent="0.25">
      <c r="A237" t="s">
        <v>677</v>
      </c>
      <c r="B237">
        <v>1296.0999999999999</v>
      </c>
      <c r="C237">
        <v>206.4972403935389</v>
      </c>
    </row>
    <row r="238" spans="1:3" x14ac:dyDescent="0.25">
      <c r="A238" t="s">
        <v>678</v>
      </c>
      <c r="B238">
        <v>1058.7</v>
      </c>
      <c r="C238">
        <v>168.6741982907489</v>
      </c>
    </row>
    <row r="239" spans="1:3" x14ac:dyDescent="0.25">
      <c r="A239" t="s">
        <v>679</v>
      </c>
      <c r="B239">
        <v>839</v>
      </c>
      <c r="C239">
        <v>133.67115553597651</v>
      </c>
    </row>
    <row r="240" spans="1:3" x14ac:dyDescent="0.25">
      <c r="A240" t="s">
        <v>680</v>
      </c>
      <c r="B240">
        <v>652.70000000000005</v>
      </c>
      <c r="C240">
        <v>103.98946748311309</v>
      </c>
    </row>
    <row r="241" spans="1:3" x14ac:dyDescent="0.25">
      <c r="A241" t="s">
        <v>681</v>
      </c>
      <c r="B241">
        <v>561.4</v>
      </c>
      <c r="C241">
        <v>89.443369151248163</v>
      </c>
    </row>
    <row r="242" spans="1:3" x14ac:dyDescent="0.25">
      <c r="A242" t="s">
        <v>682</v>
      </c>
      <c r="B242">
        <v>789.8</v>
      </c>
      <c r="C242">
        <v>130.17156546255504</v>
      </c>
    </row>
    <row r="243" spans="1:3" x14ac:dyDescent="0.25">
      <c r="A243" t="s">
        <v>683</v>
      </c>
      <c r="B243">
        <v>573.9</v>
      </c>
      <c r="C243">
        <v>94.58782149779735</v>
      </c>
    </row>
    <row r="244" spans="1:3" x14ac:dyDescent="0.25">
      <c r="A244" t="s">
        <v>684</v>
      </c>
      <c r="B244">
        <v>700.8</v>
      </c>
      <c r="C244">
        <v>115.50295400881058</v>
      </c>
    </row>
    <row r="245" spans="1:3" x14ac:dyDescent="0.25">
      <c r="A245" t="s">
        <v>685</v>
      </c>
      <c r="B245">
        <v>796</v>
      </c>
      <c r="C245">
        <v>131.19342378854626</v>
      </c>
    </row>
    <row r="246" spans="1:3" x14ac:dyDescent="0.25">
      <c r="A246" t="s">
        <v>686</v>
      </c>
      <c r="B246">
        <v>649.4</v>
      </c>
      <c r="C246">
        <v>107.03141885462554</v>
      </c>
    </row>
    <row r="247" spans="1:3" x14ac:dyDescent="0.25">
      <c r="A247" t="s">
        <v>687</v>
      </c>
      <c r="B247">
        <v>858.2</v>
      </c>
      <c r="C247">
        <v>141.44497022026431</v>
      </c>
    </row>
    <row r="248" spans="1:3" x14ac:dyDescent="0.25">
      <c r="A248" t="s">
        <v>688</v>
      </c>
      <c r="B248">
        <v>665.9</v>
      </c>
      <c r="C248">
        <v>109.75088052863435</v>
      </c>
    </row>
    <row r="249" spans="1:3" x14ac:dyDescent="0.25">
      <c r="A249" t="s">
        <v>689</v>
      </c>
      <c r="B249">
        <v>997.3</v>
      </c>
      <c r="C249">
        <v>164.37085621145371</v>
      </c>
    </row>
    <row r="250" spans="1:3" x14ac:dyDescent="0.25">
      <c r="A250" t="s">
        <v>690</v>
      </c>
      <c r="B250">
        <v>1060.4000000000001</v>
      </c>
      <c r="C250">
        <v>174.77073691629957</v>
      </c>
    </row>
    <row r="251" spans="1:3" x14ac:dyDescent="0.25">
      <c r="A251" t="s">
        <v>691</v>
      </c>
      <c r="B251">
        <v>936.6</v>
      </c>
      <c r="C251">
        <v>154.36653356828194</v>
      </c>
    </row>
    <row r="252" spans="1:3" x14ac:dyDescent="0.25">
      <c r="A252" t="s">
        <v>692</v>
      </c>
      <c r="B252">
        <v>890.7</v>
      </c>
      <c r="C252">
        <v>146.80148563876651</v>
      </c>
    </row>
    <row r="253" spans="1:3" x14ac:dyDescent="0.25">
      <c r="A253" t="s">
        <v>693</v>
      </c>
      <c r="B253">
        <v>972.6</v>
      </c>
      <c r="C253">
        <v>160.29990449339209</v>
      </c>
    </row>
    <row r="254" spans="1:3" x14ac:dyDescent="0.25">
      <c r="A254" t="s">
        <v>694</v>
      </c>
      <c r="B254">
        <v>1033.8</v>
      </c>
      <c r="C254">
        <v>170.38663506607929</v>
      </c>
    </row>
    <row r="255" spans="1:3" x14ac:dyDescent="0.25">
      <c r="A255" t="s">
        <v>695</v>
      </c>
      <c r="B255">
        <v>985.6</v>
      </c>
      <c r="C255">
        <v>162.44251066079295</v>
      </c>
    </row>
    <row r="256" spans="1:3" x14ac:dyDescent="0.25">
      <c r="A256" t="s">
        <v>696</v>
      </c>
      <c r="B256">
        <v>690.9</v>
      </c>
      <c r="C256">
        <v>113.87127700440527</v>
      </c>
    </row>
    <row r="257" spans="1:3" x14ac:dyDescent="0.25">
      <c r="A257" t="s">
        <v>697</v>
      </c>
      <c r="B257">
        <v>866.3</v>
      </c>
      <c r="C257">
        <v>142.7799786784141</v>
      </c>
    </row>
    <row r="258" spans="1:3" x14ac:dyDescent="0.25">
      <c r="A258" t="s">
        <v>698</v>
      </c>
      <c r="B258">
        <v>1283</v>
      </c>
      <c r="C258">
        <v>211.45874713656386</v>
      </c>
    </row>
    <row r="259" spans="1:3" x14ac:dyDescent="0.25">
      <c r="A259" t="s">
        <v>699</v>
      </c>
      <c r="B259">
        <v>1082.2</v>
      </c>
      <c r="C259">
        <v>178.36372264317183</v>
      </c>
    </row>
    <row r="260" spans="1:3" x14ac:dyDescent="0.25">
      <c r="A260" t="s">
        <v>700</v>
      </c>
      <c r="B260">
        <v>884.2</v>
      </c>
      <c r="C260">
        <v>145.73018255506611</v>
      </c>
    </row>
    <row r="261" spans="1:3" x14ac:dyDescent="0.25">
      <c r="A261" t="s">
        <v>701</v>
      </c>
      <c r="B261">
        <v>930.5</v>
      </c>
      <c r="C261">
        <v>153.36115682819386</v>
      </c>
    </row>
    <row r="262" spans="1:3" x14ac:dyDescent="0.25">
      <c r="A262" t="s">
        <v>702</v>
      </c>
      <c r="B262">
        <v>702.7</v>
      </c>
      <c r="C262">
        <v>115.81610414096917</v>
      </c>
    </row>
    <row r="263" spans="1:3" x14ac:dyDescent="0.25">
      <c r="A263" t="s">
        <v>703</v>
      </c>
      <c r="B263">
        <v>828.4</v>
      </c>
      <c r="C263">
        <v>136.53345762114537</v>
      </c>
    </row>
    <row r="264" spans="1:3" x14ac:dyDescent="0.25">
      <c r="A264" t="s">
        <v>704</v>
      </c>
      <c r="B264">
        <v>497</v>
      </c>
      <c r="C264">
        <v>81.913481938325987</v>
      </c>
    </row>
    <row r="265" spans="1:3" x14ac:dyDescent="0.25">
      <c r="A265" t="s">
        <v>705</v>
      </c>
      <c r="B265">
        <v>907.4</v>
      </c>
      <c r="C265">
        <v>149.55391048458148</v>
      </c>
    </row>
    <row r="266" spans="1:3" x14ac:dyDescent="0.25">
      <c r="A266" t="s">
        <v>706</v>
      </c>
      <c r="B266">
        <v>739.2</v>
      </c>
      <c r="C266">
        <v>121.83188299559471</v>
      </c>
    </row>
    <row r="267" spans="1:3" x14ac:dyDescent="0.25">
      <c r="A267" t="s">
        <v>707</v>
      </c>
      <c r="B267">
        <v>744.7</v>
      </c>
      <c r="C267">
        <v>122.73837022026433</v>
      </c>
    </row>
    <row r="268" spans="1:3" x14ac:dyDescent="0.25">
      <c r="A268" t="s">
        <v>708</v>
      </c>
      <c r="B268">
        <v>1229.2</v>
      </c>
      <c r="C268">
        <v>202.59165392070486</v>
      </c>
    </row>
    <row r="269" spans="1:3" x14ac:dyDescent="0.25">
      <c r="A269" t="s">
        <v>709</v>
      </c>
      <c r="B269">
        <v>939.5</v>
      </c>
      <c r="C269">
        <v>154.84449955947139</v>
      </c>
    </row>
    <row r="270" spans="1:3" x14ac:dyDescent="0.25">
      <c r="A270" t="s">
        <v>710</v>
      </c>
      <c r="B270">
        <v>708.2</v>
      </c>
      <c r="C270">
        <v>116.72259136563876</v>
      </c>
    </row>
    <row r="271" spans="1:3" x14ac:dyDescent="0.25">
      <c r="A271" t="s">
        <v>711</v>
      </c>
      <c r="B271">
        <v>891</v>
      </c>
      <c r="C271">
        <v>146.85093039647577</v>
      </c>
    </row>
    <row r="272" spans="1:3" x14ac:dyDescent="0.25">
      <c r="A272" t="s">
        <v>712</v>
      </c>
      <c r="B272">
        <v>684</v>
      </c>
      <c r="C272">
        <v>112.73404757709251</v>
      </c>
    </row>
    <row r="273" spans="1:3" x14ac:dyDescent="0.25">
      <c r="A273" t="s">
        <v>713</v>
      </c>
      <c r="B273">
        <v>1052.4000000000001</v>
      </c>
      <c r="C273">
        <v>173.45221004405289</v>
      </c>
    </row>
    <row r="274" spans="1:3" x14ac:dyDescent="0.25">
      <c r="A274" t="s">
        <v>714</v>
      </c>
      <c r="B274">
        <v>981.1</v>
      </c>
      <c r="C274">
        <v>161.70083929515417</v>
      </c>
    </row>
    <row r="275" spans="1:3" x14ac:dyDescent="0.25">
      <c r="A275" t="s">
        <v>715</v>
      </c>
      <c r="B275">
        <v>771.1</v>
      </c>
      <c r="C275">
        <v>127.08950889867843</v>
      </c>
    </row>
    <row r="276" spans="1:3" x14ac:dyDescent="0.25">
      <c r="A276" t="s">
        <v>716</v>
      </c>
      <c r="B276">
        <v>894.9</v>
      </c>
      <c r="C276">
        <v>147.49371224669602</v>
      </c>
    </row>
    <row r="277" spans="1:3" x14ac:dyDescent="0.25">
      <c r="A277" t="s">
        <v>717</v>
      </c>
      <c r="B277">
        <v>1094.4000000000001</v>
      </c>
      <c r="C277">
        <v>180.37447612334802</v>
      </c>
    </row>
    <row r="278" spans="1:3" x14ac:dyDescent="0.25">
      <c r="A278" t="s">
        <v>718</v>
      </c>
      <c r="B278">
        <v>993.3</v>
      </c>
      <c r="C278">
        <v>163.71159277533039</v>
      </c>
    </row>
    <row r="279" spans="1:3" x14ac:dyDescent="0.25">
      <c r="A279" t="s">
        <v>719</v>
      </c>
      <c r="B279">
        <v>617</v>
      </c>
      <c r="C279">
        <v>101.69138502202642</v>
      </c>
    </row>
    <row r="280" spans="1:3" x14ac:dyDescent="0.25">
      <c r="A280" t="s">
        <v>720</v>
      </c>
      <c r="B280">
        <v>668.7</v>
      </c>
      <c r="C280">
        <v>110.2123649339207</v>
      </c>
    </row>
    <row r="281" spans="1:3" x14ac:dyDescent="0.25">
      <c r="A281" t="s">
        <v>721</v>
      </c>
      <c r="B281">
        <v>973.8</v>
      </c>
      <c r="C281">
        <v>160.49768352422907</v>
      </c>
    </row>
    <row r="282" spans="1:3" x14ac:dyDescent="0.25">
      <c r="A282" t="s">
        <v>722</v>
      </c>
      <c r="B282">
        <v>906.2</v>
      </c>
      <c r="C282">
        <v>139.72025200511584</v>
      </c>
    </row>
    <row r="283" spans="1:3" x14ac:dyDescent="0.25">
      <c r="A283" t="s">
        <v>723</v>
      </c>
      <c r="B283">
        <v>761.2</v>
      </c>
      <c r="C283">
        <v>117.36377822367488</v>
      </c>
    </row>
    <row r="284" spans="1:3" x14ac:dyDescent="0.25">
      <c r="A284" t="s">
        <v>724</v>
      </c>
      <c r="B284">
        <v>1017</v>
      </c>
      <c r="C284">
        <v>156.80368162569278</v>
      </c>
    </row>
    <row r="285" spans="1:3" x14ac:dyDescent="0.25">
      <c r="A285" t="s">
        <v>725</v>
      </c>
      <c r="B285">
        <v>889</v>
      </c>
      <c r="C285">
        <v>137.06831166690353</v>
      </c>
    </row>
    <row r="286" spans="1:3" x14ac:dyDescent="0.25">
      <c r="A286" t="s">
        <v>726</v>
      </c>
      <c r="B286">
        <v>865.1</v>
      </c>
      <c r="C286">
        <v>133.38334805741084</v>
      </c>
    </row>
    <row r="287" spans="1:3" x14ac:dyDescent="0.25">
      <c r="A287" t="s">
        <v>727</v>
      </c>
      <c r="B287">
        <v>850.6</v>
      </c>
      <c r="C287">
        <v>131.14770067926673</v>
      </c>
    </row>
    <row r="288" spans="1:3" x14ac:dyDescent="0.25">
      <c r="A288" t="s">
        <v>728</v>
      </c>
      <c r="B288">
        <v>1020.6</v>
      </c>
      <c r="C288">
        <v>157.35873890578372</v>
      </c>
    </row>
    <row r="289" spans="1:3" x14ac:dyDescent="0.25">
      <c r="A289" t="s">
        <v>729</v>
      </c>
      <c r="B289">
        <v>928.4</v>
      </c>
      <c r="C289">
        <v>143.14310523234332</v>
      </c>
    </row>
    <row r="290" spans="1:3" x14ac:dyDescent="0.25">
      <c r="A290" t="s">
        <v>730</v>
      </c>
      <c r="B290">
        <v>964</v>
      </c>
      <c r="C290">
        <v>148.63200500213159</v>
      </c>
    </row>
    <row r="291" spans="1:3" x14ac:dyDescent="0.25">
      <c r="A291" t="s">
        <v>731</v>
      </c>
      <c r="B291">
        <v>1029</v>
      </c>
      <c r="C291">
        <v>158.65387255932927</v>
      </c>
    </row>
    <row r="292" spans="1:3" x14ac:dyDescent="0.25">
      <c r="A292" t="s">
        <v>732</v>
      </c>
      <c r="B292">
        <v>726.2</v>
      </c>
      <c r="C292">
        <v>111.96738800056843</v>
      </c>
    </row>
    <row r="293" spans="1:3" x14ac:dyDescent="0.25">
      <c r="A293" t="s">
        <v>733</v>
      </c>
      <c r="B293">
        <v>906.5</v>
      </c>
      <c r="C293">
        <v>139.76650677845674</v>
      </c>
    </row>
    <row r="294" spans="1:3" x14ac:dyDescent="0.25">
      <c r="A294" t="s">
        <v>734</v>
      </c>
      <c r="B294">
        <v>790.8</v>
      </c>
      <c r="C294">
        <v>121.92758252664488</v>
      </c>
    </row>
    <row r="295" spans="1:3" x14ac:dyDescent="0.25">
      <c r="A295" t="s">
        <v>735</v>
      </c>
      <c r="B295">
        <v>1046.9000000000001</v>
      </c>
      <c r="C295">
        <v>161.41374070200371</v>
      </c>
    </row>
    <row r="296" spans="1:3" x14ac:dyDescent="0.25">
      <c r="A296" t="s">
        <v>736</v>
      </c>
      <c r="B296">
        <v>872.5</v>
      </c>
      <c r="C296">
        <v>134.52429913315336</v>
      </c>
    </row>
    <row r="297" spans="1:3" x14ac:dyDescent="0.25">
      <c r="A297" t="s">
        <v>737</v>
      </c>
      <c r="B297">
        <v>717.7</v>
      </c>
      <c r="C297">
        <v>110.65683608924259</v>
      </c>
    </row>
    <row r="298" spans="1:3" x14ac:dyDescent="0.25">
      <c r="A298" t="s">
        <v>738</v>
      </c>
      <c r="B298">
        <v>980.2</v>
      </c>
      <c r="C298">
        <v>151.12976276254085</v>
      </c>
    </row>
    <row r="299" spans="1:3" x14ac:dyDescent="0.25">
      <c r="A299" t="s">
        <v>739</v>
      </c>
      <c r="B299">
        <v>860.5</v>
      </c>
      <c r="C299">
        <v>132.67410819951684</v>
      </c>
    </row>
    <row r="300" spans="1:3" x14ac:dyDescent="0.25">
      <c r="A300" t="s">
        <v>740</v>
      </c>
      <c r="B300">
        <v>685.6</v>
      </c>
      <c r="C300">
        <v>105.70757534176497</v>
      </c>
    </row>
    <row r="301" spans="1:3" x14ac:dyDescent="0.25">
      <c r="A301" t="s">
        <v>741</v>
      </c>
      <c r="B301">
        <v>1175.3</v>
      </c>
      <c r="C301">
        <v>181.21078369191417</v>
      </c>
    </row>
    <row r="302" spans="1:3" x14ac:dyDescent="0.25">
      <c r="A302" t="s">
        <v>742</v>
      </c>
      <c r="B302">
        <v>965.8</v>
      </c>
      <c r="C302">
        <v>148.90953364217705</v>
      </c>
    </row>
    <row r="303" spans="1:3" x14ac:dyDescent="0.25">
      <c r="A303" t="s">
        <v>743</v>
      </c>
      <c r="B303">
        <v>1044.0999999999999</v>
      </c>
      <c r="C303">
        <v>160.98202948415516</v>
      </c>
    </row>
    <row r="304" spans="1:3" x14ac:dyDescent="0.25">
      <c r="A304" t="s">
        <v>744</v>
      </c>
      <c r="B304">
        <v>833.3</v>
      </c>
      <c r="C304">
        <v>128.48034208327411</v>
      </c>
    </row>
    <row r="305" spans="1:3" x14ac:dyDescent="0.25">
      <c r="A305" t="s">
        <v>745</v>
      </c>
      <c r="B305">
        <v>918.4</v>
      </c>
      <c r="C305">
        <v>141.6012794543129</v>
      </c>
    </row>
    <row r="306" spans="1:3" x14ac:dyDescent="0.25">
      <c r="A306" t="s">
        <v>746</v>
      </c>
      <c r="B306">
        <v>1059.9000000000001</v>
      </c>
      <c r="C306">
        <v>163.41811421344326</v>
      </c>
    </row>
    <row r="307" spans="1:3" x14ac:dyDescent="0.25">
      <c r="A307" t="s">
        <v>747</v>
      </c>
      <c r="B307">
        <v>1484.2</v>
      </c>
      <c r="C307">
        <v>228.83778197527357</v>
      </c>
    </row>
    <row r="308" spans="1:3" x14ac:dyDescent="0.25">
      <c r="A308" t="s">
        <v>748</v>
      </c>
      <c r="B308">
        <v>1325.8</v>
      </c>
      <c r="C308">
        <v>204.41526165127186</v>
      </c>
    </row>
    <row r="309" spans="1:3" x14ac:dyDescent="0.25">
      <c r="A309" t="s">
        <v>749</v>
      </c>
      <c r="B309">
        <v>695.8</v>
      </c>
      <c r="C309">
        <v>107.28023763535599</v>
      </c>
    </row>
    <row r="310" spans="1:3" x14ac:dyDescent="0.25">
      <c r="A310" t="s">
        <v>750</v>
      </c>
      <c r="B310">
        <v>810.6</v>
      </c>
      <c r="C310">
        <v>124.9803975671451</v>
      </c>
    </row>
    <row r="311" spans="1:3" x14ac:dyDescent="0.25">
      <c r="A311" t="s">
        <v>751</v>
      </c>
      <c r="B311">
        <v>1033.9000000000001</v>
      </c>
      <c r="C311">
        <v>159.40936719056418</v>
      </c>
    </row>
    <row r="312" spans="1:3" x14ac:dyDescent="0.25">
      <c r="A312" t="s">
        <v>752</v>
      </c>
      <c r="B312">
        <v>886.1</v>
      </c>
      <c r="C312">
        <v>136.62118219127473</v>
      </c>
    </row>
    <row r="313" spans="1:3" x14ac:dyDescent="0.25">
      <c r="A313" t="s">
        <v>753</v>
      </c>
      <c r="B313">
        <v>1020.9</v>
      </c>
      <c r="C313">
        <v>157.40499367912463</v>
      </c>
    </row>
    <row r="314" spans="1:3" x14ac:dyDescent="0.25">
      <c r="A314" t="s">
        <v>754</v>
      </c>
      <c r="B314">
        <v>829.1</v>
      </c>
      <c r="C314">
        <v>127.83277525650135</v>
      </c>
    </row>
    <row r="315" spans="1:3" x14ac:dyDescent="0.25">
      <c r="A315" t="s">
        <v>755</v>
      </c>
      <c r="B315">
        <v>1502</v>
      </c>
      <c r="C315">
        <v>231.58223186016772</v>
      </c>
    </row>
    <row r="316" spans="1:3" x14ac:dyDescent="0.25">
      <c r="A316" t="s">
        <v>756</v>
      </c>
      <c r="B316">
        <v>818.7</v>
      </c>
      <c r="C316">
        <v>126.22927644734973</v>
      </c>
    </row>
    <row r="317" spans="1:3" x14ac:dyDescent="0.25">
      <c r="A317" t="s">
        <v>757</v>
      </c>
      <c r="B317">
        <v>1173.8</v>
      </c>
      <c r="C317">
        <v>180.97950982520959</v>
      </c>
    </row>
    <row r="318" spans="1:3" x14ac:dyDescent="0.25">
      <c r="A318" t="s">
        <v>758</v>
      </c>
      <c r="B318">
        <v>1275.8</v>
      </c>
      <c r="C318">
        <v>196.70613276111979</v>
      </c>
    </row>
    <row r="319" spans="1:3" x14ac:dyDescent="0.25">
      <c r="A319" t="s">
        <v>759</v>
      </c>
      <c r="B319">
        <v>1042</v>
      </c>
      <c r="C319">
        <v>160.6582460707688</v>
      </c>
    </row>
    <row r="320" spans="1:3" x14ac:dyDescent="0.25">
      <c r="A320" t="s">
        <v>760</v>
      </c>
      <c r="B320">
        <v>766.1</v>
      </c>
      <c r="C320">
        <v>118.11927285490978</v>
      </c>
    </row>
    <row r="321" spans="1:3" x14ac:dyDescent="0.25">
      <c r="A321" t="s">
        <v>761</v>
      </c>
      <c r="B321">
        <v>777.2</v>
      </c>
      <c r="C321">
        <v>119.83069946852352</v>
      </c>
    </row>
    <row r="322" spans="1:3" x14ac:dyDescent="0.25">
      <c r="A322" t="s">
        <v>762</v>
      </c>
      <c r="B322">
        <v>727.8</v>
      </c>
      <c r="C322">
        <v>119.95298220264316</v>
      </c>
    </row>
    <row r="323" spans="1:3" x14ac:dyDescent="0.25">
      <c r="A323" t="s">
        <v>763</v>
      </c>
      <c r="B323">
        <v>758.2</v>
      </c>
      <c r="C323">
        <v>124.96338431718063</v>
      </c>
    </row>
    <row r="324" spans="1:3" x14ac:dyDescent="0.25">
      <c r="A324" t="s">
        <v>764</v>
      </c>
      <c r="B324">
        <v>917.2</v>
      </c>
      <c r="C324">
        <v>151.16910590308373</v>
      </c>
    </row>
    <row r="325" spans="1:3" x14ac:dyDescent="0.25">
      <c r="A325" t="s">
        <v>765</v>
      </c>
      <c r="B325">
        <v>1322.6</v>
      </c>
      <c r="C325">
        <v>217.98545515418499</v>
      </c>
    </row>
    <row r="326" spans="1:3" x14ac:dyDescent="0.25">
      <c r="A326" t="s">
        <v>766</v>
      </c>
      <c r="B326">
        <v>1206.5999999999999</v>
      </c>
      <c r="C326">
        <v>198.86681550660791</v>
      </c>
    </row>
    <row r="327" spans="1:3" x14ac:dyDescent="0.25">
      <c r="A327" t="s">
        <v>767</v>
      </c>
      <c r="B327">
        <v>877.2</v>
      </c>
      <c r="C327">
        <v>144.57647154185025</v>
      </c>
    </row>
    <row r="328" spans="1:3" x14ac:dyDescent="0.25">
      <c r="A328" t="s">
        <v>768</v>
      </c>
      <c r="B328">
        <v>950.1</v>
      </c>
      <c r="C328">
        <v>156.59154766519825</v>
      </c>
    </row>
    <row r="329" spans="1:3" x14ac:dyDescent="0.25">
      <c r="A329" t="s">
        <v>769</v>
      </c>
      <c r="B329">
        <v>1444.4</v>
      </c>
      <c r="C329">
        <v>238.06002678414097</v>
      </c>
    </row>
    <row r="330" spans="1:3" x14ac:dyDescent="0.25">
      <c r="A330" t="s">
        <v>770</v>
      </c>
      <c r="B330">
        <v>1058</v>
      </c>
      <c r="C330">
        <v>174.37517885462557</v>
      </c>
    </row>
    <row r="331" spans="1:3" x14ac:dyDescent="0.25">
      <c r="A331" t="s">
        <v>771</v>
      </c>
      <c r="B331">
        <v>861.2</v>
      </c>
      <c r="C331">
        <v>141.93941779735684</v>
      </c>
    </row>
    <row r="332" spans="1:3" x14ac:dyDescent="0.25">
      <c r="A332" t="s">
        <v>772</v>
      </c>
      <c r="B332">
        <v>1065.4000000000001</v>
      </c>
      <c r="C332">
        <v>175.59481621145375</v>
      </c>
    </row>
    <row r="333" spans="1:3" x14ac:dyDescent="0.25">
      <c r="A333" t="s">
        <v>773</v>
      </c>
      <c r="B333">
        <v>753.7</v>
      </c>
      <c r="C333">
        <v>124.22171295154186</v>
      </c>
    </row>
    <row r="334" spans="1:3" x14ac:dyDescent="0.25">
      <c r="A334" t="s">
        <v>774</v>
      </c>
      <c r="B334">
        <v>949.3</v>
      </c>
      <c r="C334">
        <v>156.45969497797356</v>
      </c>
    </row>
    <row r="335" spans="1:3" x14ac:dyDescent="0.25">
      <c r="A335" t="s">
        <v>775</v>
      </c>
      <c r="B335">
        <v>818.9</v>
      </c>
      <c r="C335">
        <v>134.96770696035242</v>
      </c>
    </row>
    <row r="336" spans="1:3" x14ac:dyDescent="0.25">
      <c r="A336" t="s">
        <v>776</v>
      </c>
      <c r="B336">
        <v>1104</v>
      </c>
      <c r="C336">
        <v>181.95670837004403</v>
      </c>
    </row>
    <row r="337" spans="1:3" x14ac:dyDescent="0.25">
      <c r="A337" t="s">
        <v>777</v>
      </c>
      <c r="B337">
        <v>626.4</v>
      </c>
      <c r="C337">
        <v>103.2406540969163</v>
      </c>
    </row>
    <row r="338" spans="1:3" x14ac:dyDescent="0.25">
      <c r="A338" t="s">
        <v>778</v>
      </c>
      <c r="B338">
        <v>918.8</v>
      </c>
      <c r="C338">
        <v>151.43281127753301</v>
      </c>
    </row>
    <row r="339" spans="1:3" x14ac:dyDescent="0.25">
      <c r="A339" t="s">
        <v>779</v>
      </c>
      <c r="B339">
        <v>855</v>
      </c>
      <c r="C339">
        <v>140.91755947136565</v>
      </c>
    </row>
    <row r="340" spans="1:3" x14ac:dyDescent="0.25">
      <c r="A340" t="s">
        <v>780</v>
      </c>
      <c r="B340">
        <v>1218.8</v>
      </c>
      <c r="C340">
        <v>200.87756898678413</v>
      </c>
    </row>
    <row r="341" spans="1:3" x14ac:dyDescent="0.25">
      <c r="A341" t="s">
        <v>781</v>
      </c>
      <c r="B341">
        <v>801.9</v>
      </c>
      <c r="C341">
        <v>132.16583735682818</v>
      </c>
    </row>
    <row r="342" spans="1:3" x14ac:dyDescent="0.25">
      <c r="A342" t="s">
        <v>782</v>
      </c>
      <c r="B342">
        <v>987.3</v>
      </c>
      <c r="C342">
        <v>162.72269762114536</v>
      </c>
    </row>
    <row r="343" spans="1:3" x14ac:dyDescent="0.25">
      <c r="A343" t="s">
        <v>783</v>
      </c>
      <c r="B343">
        <v>797.8</v>
      </c>
      <c r="C343">
        <v>131.49009233480174</v>
      </c>
    </row>
    <row r="344" spans="1:3" x14ac:dyDescent="0.25">
      <c r="A344" t="s">
        <v>784</v>
      </c>
      <c r="B344">
        <v>999.3</v>
      </c>
      <c r="C344">
        <v>164.70048792951539</v>
      </c>
    </row>
    <row r="345" spans="1:3" x14ac:dyDescent="0.25">
      <c r="A345" t="s">
        <v>785</v>
      </c>
      <c r="B345">
        <v>900.9</v>
      </c>
      <c r="C345">
        <v>148.48260740088105</v>
      </c>
    </row>
    <row r="346" spans="1:3" x14ac:dyDescent="0.25">
      <c r="A346" t="s">
        <v>786</v>
      </c>
      <c r="B346">
        <v>961.5</v>
      </c>
      <c r="C346">
        <v>158.47044845814978</v>
      </c>
    </row>
    <row r="347" spans="1:3" x14ac:dyDescent="0.25">
      <c r="A347" t="s">
        <v>787</v>
      </c>
      <c r="B347">
        <v>893.4</v>
      </c>
      <c r="C347">
        <v>147.24648845814977</v>
      </c>
    </row>
    <row r="348" spans="1:3" x14ac:dyDescent="0.25">
      <c r="A348" t="s">
        <v>788</v>
      </c>
      <c r="B348">
        <v>923.8</v>
      </c>
      <c r="C348">
        <v>152.25689057268724</v>
      </c>
    </row>
    <row r="349" spans="1:3" x14ac:dyDescent="0.25">
      <c r="A349" t="s">
        <v>789</v>
      </c>
      <c r="B349">
        <v>923</v>
      </c>
      <c r="C349">
        <v>152.12503788546255</v>
      </c>
    </row>
    <row r="350" spans="1:3" x14ac:dyDescent="0.25">
      <c r="A350" t="s">
        <v>790</v>
      </c>
      <c r="B350">
        <v>381.7</v>
      </c>
      <c r="C350">
        <v>62.910213392070482</v>
      </c>
    </row>
    <row r="351" spans="1:3" x14ac:dyDescent="0.25">
      <c r="A351" t="s">
        <v>791</v>
      </c>
      <c r="B351">
        <v>827.4</v>
      </c>
      <c r="C351">
        <v>136.36864176211452</v>
      </c>
    </row>
    <row r="352" spans="1:3" x14ac:dyDescent="0.25">
      <c r="A352" t="s">
        <v>792</v>
      </c>
      <c r="B352">
        <v>743.3</v>
      </c>
      <c r="C352">
        <v>122.50762801762116</v>
      </c>
    </row>
    <row r="353" spans="1:3" x14ac:dyDescent="0.25">
      <c r="A353" t="s">
        <v>793</v>
      </c>
      <c r="B353">
        <v>671.3</v>
      </c>
      <c r="C353">
        <v>110.64088616740086</v>
      </c>
    </row>
    <row r="354" spans="1:3" x14ac:dyDescent="0.25">
      <c r="A354" t="s">
        <v>794</v>
      </c>
      <c r="B354">
        <v>736.6</v>
      </c>
      <c r="C354">
        <v>121.40336176211454</v>
      </c>
    </row>
    <row r="355" spans="1:3" x14ac:dyDescent="0.25">
      <c r="A355" t="s">
        <v>795</v>
      </c>
      <c r="B355">
        <v>1077.2</v>
      </c>
      <c r="C355">
        <v>177.53964334801762</v>
      </c>
    </row>
    <row r="356" spans="1:3" x14ac:dyDescent="0.25">
      <c r="A356" t="s">
        <v>796</v>
      </c>
      <c r="B356">
        <v>1063.8</v>
      </c>
      <c r="C356">
        <v>175.33111083700439</v>
      </c>
    </row>
    <row r="357" spans="1:3" x14ac:dyDescent="0.25">
      <c r="A357" t="s">
        <v>797</v>
      </c>
      <c r="B357">
        <v>663</v>
      </c>
      <c r="C357">
        <v>109.27291453744492</v>
      </c>
    </row>
    <row r="358" spans="1:3" x14ac:dyDescent="0.25">
      <c r="A358" t="s">
        <v>798</v>
      </c>
      <c r="B358">
        <v>1190.5999999999999</v>
      </c>
      <c r="C358">
        <v>196.22976176211449</v>
      </c>
    </row>
    <row r="359" spans="1:3" x14ac:dyDescent="0.25">
      <c r="A359" t="s">
        <v>799</v>
      </c>
      <c r="B359">
        <v>443.8</v>
      </c>
      <c r="C359">
        <v>73.145278237885464</v>
      </c>
    </row>
    <row r="360" spans="1:3" x14ac:dyDescent="0.25">
      <c r="A360" t="s">
        <v>800</v>
      </c>
      <c r="B360">
        <v>619</v>
      </c>
      <c r="C360">
        <v>102.02101674008811</v>
      </c>
    </row>
    <row r="361" spans="1:3" x14ac:dyDescent="0.25">
      <c r="A361" t="s">
        <v>801</v>
      </c>
      <c r="B361">
        <v>907.4</v>
      </c>
      <c r="C361">
        <v>149.55391048458148</v>
      </c>
    </row>
    <row r="362" spans="1:3" x14ac:dyDescent="0.25">
      <c r="A362" t="s">
        <v>802</v>
      </c>
      <c r="B362">
        <v>793.4</v>
      </c>
      <c r="C362">
        <v>130.7649025550661</v>
      </c>
    </row>
    <row r="363" spans="1:3" x14ac:dyDescent="0.25">
      <c r="A363" t="s">
        <v>803</v>
      </c>
      <c r="B363">
        <v>835.8</v>
      </c>
      <c r="C363">
        <v>137.75309497797357</v>
      </c>
    </row>
    <row r="364" spans="1:3" x14ac:dyDescent="0.25">
      <c r="A364" t="s">
        <v>804</v>
      </c>
      <c r="B364">
        <v>685.6</v>
      </c>
      <c r="C364">
        <v>112.99775295154186</v>
      </c>
    </row>
    <row r="365" spans="1:3" x14ac:dyDescent="0.25">
      <c r="A365" t="s">
        <v>805</v>
      </c>
      <c r="B365">
        <v>823.6</v>
      </c>
      <c r="C365">
        <v>135.74234149779736</v>
      </c>
    </row>
    <row r="366" spans="1:3" x14ac:dyDescent="0.25">
      <c r="A366" t="s">
        <v>806</v>
      </c>
      <c r="B366">
        <v>865.9</v>
      </c>
      <c r="C366">
        <v>142.71405233480175</v>
      </c>
    </row>
    <row r="367" spans="1:3" x14ac:dyDescent="0.25">
      <c r="A367" t="s">
        <v>807</v>
      </c>
      <c r="B367">
        <v>1098</v>
      </c>
      <c r="C367">
        <v>180.96781321585902</v>
      </c>
    </row>
    <row r="368" spans="1:3" x14ac:dyDescent="0.25">
      <c r="A368" t="s">
        <v>808</v>
      </c>
      <c r="B368">
        <v>1030.4000000000001</v>
      </c>
      <c r="C368">
        <v>169.82626114537447</v>
      </c>
    </row>
    <row r="369" spans="1:3" x14ac:dyDescent="0.25">
      <c r="A369" t="s">
        <v>809</v>
      </c>
      <c r="B369">
        <v>1129.4000000000001</v>
      </c>
      <c r="C369">
        <v>186.14303118942732</v>
      </c>
    </row>
    <row r="370" spans="1:3" x14ac:dyDescent="0.25">
      <c r="A370" t="s">
        <v>810</v>
      </c>
      <c r="B370">
        <v>1035.8</v>
      </c>
      <c r="C370">
        <v>170.71626678414097</v>
      </c>
    </row>
    <row r="371" spans="1:3" x14ac:dyDescent="0.25">
      <c r="A371" t="s">
        <v>811</v>
      </c>
      <c r="B371">
        <v>891.9</v>
      </c>
      <c r="C371">
        <v>146.99926466960352</v>
      </c>
    </row>
    <row r="372" spans="1:3" x14ac:dyDescent="0.25">
      <c r="A372" t="s">
        <v>812</v>
      </c>
      <c r="B372">
        <v>898.1</v>
      </c>
      <c r="C372">
        <v>148.02112299559474</v>
      </c>
    </row>
    <row r="373" spans="1:3" x14ac:dyDescent="0.25">
      <c r="A373" t="s">
        <v>813</v>
      </c>
      <c r="B373">
        <v>773.3</v>
      </c>
      <c r="C373">
        <v>127.45210378854625</v>
      </c>
    </row>
    <row r="374" spans="1:3" x14ac:dyDescent="0.25">
      <c r="A374" t="s">
        <v>814</v>
      </c>
      <c r="B374">
        <v>658.4</v>
      </c>
      <c r="C374">
        <v>108.51476158590307</v>
      </c>
    </row>
    <row r="375" spans="1:3" x14ac:dyDescent="0.25">
      <c r="A375" t="s">
        <v>815</v>
      </c>
      <c r="B375">
        <v>1116.5</v>
      </c>
      <c r="C375">
        <v>184.01690660792951</v>
      </c>
    </row>
    <row r="376" spans="1:3" x14ac:dyDescent="0.25">
      <c r="A376" t="s">
        <v>816</v>
      </c>
      <c r="B376">
        <v>789</v>
      </c>
      <c r="C376">
        <v>130.0397127753304</v>
      </c>
    </row>
    <row r="377" spans="1:3" x14ac:dyDescent="0.25">
      <c r="A377" t="s">
        <v>817</v>
      </c>
      <c r="B377">
        <v>1019.4</v>
      </c>
      <c r="C377">
        <v>168.01328669603524</v>
      </c>
    </row>
    <row r="378" spans="1:3" x14ac:dyDescent="0.25">
      <c r="A378" t="s">
        <v>818</v>
      </c>
      <c r="B378">
        <v>958.8</v>
      </c>
      <c r="C378">
        <v>158.02544563876651</v>
      </c>
    </row>
    <row r="379" spans="1:3" x14ac:dyDescent="0.25">
      <c r="A379" t="s">
        <v>819</v>
      </c>
      <c r="B379">
        <v>865.2</v>
      </c>
      <c r="C379">
        <v>142.59868123348019</v>
      </c>
    </row>
    <row r="380" spans="1:3" x14ac:dyDescent="0.25">
      <c r="A380" t="s">
        <v>820</v>
      </c>
      <c r="B380">
        <v>1283.7</v>
      </c>
      <c r="C380">
        <v>211.57411823788547</v>
      </c>
    </row>
    <row r="381" spans="1:3" x14ac:dyDescent="0.25">
      <c r="A381" t="s">
        <v>821</v>
      </c>
      <c r="B381">
        <v>1131</v>
      </c>
      <c r="C381">
        <v>186.40673656387665</v>
      </c>
    </row>
    <row r="382" spans="1:3" x14ac:dyDescent="0.25">
      <c r="A382" t="s">
        <v>822</v>
      </c>
      <c r="B382">
        <v>971.1</v>
      </c>
      <c r="C382">
        <v>160.05268070484578</v>
      </c>
    </row>
    <row r="383" spans="1:3" x14ac:dyDescent="0.25">
      <c r="A383" t="s">
        <v>823</v>
      </c>
      <c r="B383">
        <v>903.3</v>
      </c>
      <c r="C383">
        <v>148.87816546255505</v>
      </c>
    </row>
    <row r="384" spans="1:3" x14ac:dyDescent="0.25">
      <c r="A384" t="s">
        <v>824</v>
      </c>
      <c r="B384">
        <v>1041.5999999999999</v>
      </c>
      <c r="C384">
        <v>171.67219876651981</v>
      </c>
    </row>
    <row r="385" spans="1:3" x14ac:dyDescent="0.25">
      <c r="A385" t="s">
        <v>825</v>
      </c>
      <c r="B385">
        <v>900.5</v>
      </c>
      <c r="C385">
        <v>148.41668105726873</v>
      </c>
    </row>
    <row r="386" spans="1:3" x14ac:dyDescent="0.25">
      <c r="A386" t="s">
        <v>826</v>
      </c>
      <c r="B386">
        <v>1192.5999999999999</v>
      </c>
      <c r="C386">
        <v>196.5593934801762</v>
      </c>
    </row>
    <row r="387" spans="1:3" x14ac:dyDescent="0.25">
      <c r="A387" t="s">
        <v>827</v>
      </c>
      <c r="B387">
        <v>1345.9</v>
      </c>
      <c r="C387">
        <v>221.82566466960353</v>
      </c>
    </row>
    <row r="388" spans="1:3" x14ac:dyDescent="0.25">
      <c r="A388" t="s">
        <v>828</v>
      </c>
      <c r="B388">
        <v>1067</v>
      </c>
      <c r="C388">
        <v>175.85852158590311</v>
      </c>
    </row>
    <row r="389" spans="1:3" x14ac:dyDescent="0.25">
      <c r="A389" t="s">
        <v>829</v>
      </c>
      <c r="B389">
        <v>715.9</v>
      </c>
      <c r="C389">
        <v>117.9916734801762</v>
      </c>
    </row>
    <row r="390" spans="1:3" x14ac:dyDescent="0.25">
      <c r="A390" t="s">
        <v>830</v>
      </c>
      <c r="B390">
        <v>946.1</v>
      </c>
      <c r="C390">
        <v>155.9322842290749</v>
      </c>
    </row>
    <row r="391" spans="1:3" x14ac:dyDescent="0.25">
      <c r="A391" t="s">
        <v>831</v>
      </c>
      <c r="B391">
        <v>1256.0999999999999</v>
      </c>
      <c r="C391">
        <v>207.02520052863434</v>
      </c>
    </row>
    <row r="392" spans="1:3" x14ac:dyDescent="0.25">
      <c r="A392" t="s">
        <v>832</v>
      </c>
      <c r="B392">
        <v>1029.0999999999999</v>
      </c>
      <c r="C392">
        <v>169.61200052863435</v>
      </c>
    </row>
    <row r="393" spans="1:3" x14ac:dyDescent="0.25">
      <c r="A393" t="s">
        <v>833</v>
      </c>
      <c r="B393">
        <v>1215</v>
      </c>
      <c r="C393">
        <v>200.25126872246696</v>
      </c>
    </row>
    <row r="394" spans="1:3" x14ac:dyDescent="0.25">
      <c r="A394" t="s">
        <v>834</v>
      </c>
      <c r="B394">
        <v>792.4</v>
      </c>
      <c r="C394">
        <v>130.60008669603525</v>
      </c>
    </row>
    <row r="395" spans="1:3" x14ac:dyDescent="0.25">
      <c r="A395" t="s">
        <v>835</v>
      </c>
      <c r="B395">
        <v>959.6</v>
      </c>
      <c r="C395">
        <v>158.15729832599121</v>
      </c>
    </row>
    <row r="396" spans="1:3" x14ac:dyDescent="0.25">
      <c r="A396" t="s">
        <v>836</v>
      </c>
      <c r="B396">
        <v>1154</v>
      </c>
      <c r="C396">
        <v>190.19750132158589</v>
      </c>
    </row>
    <row r="397" spans="1:3" x14ac:dyDescent="0.25">
      <c r="A397" t="s">
        <v>837</v>
      </c>
      <c r="B397">
        <v>978.6</v>
      </c>
      <c r="C397">
        <v>161.28879964757712</v>
      </c>
    </row>
    <row r="398" spans="1:3" x14ac:dyDescent="0.25">
      <c r="A398" t="s">
        <v>838</v>
      </c>
      <c r="B398">
        <v>1135</v>
      </c>
      <c r="C398">
        <v>187.066</v>
      </c>
    </row>
    <row r="399" spans="1:3" x14ac:dyDescent="0.25">
      <c r="A399" t="s">
        <v>839</v>
      </c>
      <c r="B399">
        <v>530</v>
      </c>
      <c r="C399">
        <v>87.352405286343611</v>
      </c>
    </row>
    <row r="400" spans="1:3" x14ac:dyDescent="0.25">
      <c r="A400" t="s">
        <v>840</v>
      </c>
      <c r="B400">
        <v>432.9</v>
      </c>
      <c r="C400">
        <v>71.348785374449349</v>
      </c>
    </row>
    <row r="401" spans="1:3" x14ac:dyDescent="0.25">
      <c r="A401" t="s">
        <v>841</v>
      </c>
      <c r="B401">
        <v>708.8</v>
      </c>
      <c r="C401">
        <v>116.82148088105727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23F6-B537-43CE-8D6E-3F5AFB88D984}">
  <dimension ref="A1:P401"/>
  <sheetViews>
    <sheetView tabSelected="1" workbookViewId="0">
      <selection sqref="A1:A1048576"/>
    </sheetView>
  </sheetViews>
  <sheetFormatPr defaultRowHeight="15" x14ac:dyDescent="0.25"/>
  <cols>
    <col min="1" max="1" width="10.5703125" bestFit="1" customWidth="1"/>
    <col min="3" max="3" width="10.42578125" bestFit="1" customWidth="1"/>
    <col min="4" max="4" width="12.85546875" bestFit="1" customWidth="1"/>
    <col min="5" max="5" width="12.28515625" bestFit="1" customWidth="1"/>
    <col min="6" max="6" width="11.5703125" bestFit="1" customWidth="1"/>
    <col min="7" max="7" width="14.7109375" bestFit="1" customWidth="1"/>
    <col min="8" max="8" width="15.5703125" bestFit="1" customWidth="1"/>
    <col min="9" max="9" width="13.5703125" bestFit="1" customWidth="1"/>
    <col min="10" max="10" width="9.85546875" bestFit="1" customWidth="1"/>
    <col min="11" max="11" width="10.5703125" bestFit="1" customWidth="1"/>
    <col min="12" max="12" width="8.7109375" style="6"/>
    <col min="13" max="13" width="8.42578125" style="6" bestFit="1" customWidth="1"/>
    <col min="14" max="14" width="21.5703125" bestFit="1" customWidth="1"/>
    <col min="15" max="15" width="34.85546875" bestFit="1" customWidth="1"/>
    <col min="16" max="16" width="36.42578125" bestFit="1" customWidth="1"/>
  </cols>
  <sheetData>
    <row r="1" spans="1:16" ht="15.75" thickBot="1" x14ac:dyDescent="0.3">
      <c r="A1" t="s">
        <v>842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438</v>
      </c>
      <c r="H1" s="1" t="s">
        <v>5</v>
      </c>
      <c r="I1" s="1" t="s">
        <v>6</v>
      </c>
      <c r="J1" s="1" t="s">
        <v>7</v>
      </c>
      <c r="K1" s="1" t="s">
        <v>8</v>
      </c>
      <c r="L1" s="4" t="s">
        <v>9</v>
      </c>
      <c r="M1" s="4" t="s">
        <v>10</v>
      </c>
      <c r="N1" t="s">
        <v>441</v>
      </c>
      <c r="O1" t="s">
        <v>439</v>
      </c>
      <c r="P1" t="s">
        <v>440</v>
      </c>
    </row>
    <row r="2" spans="1:16" ht="15.75" thickBot="1" x14ac:dyDescent="0.3">
      <c r="A2" t="str">
        <f>IF((B2+3000)=VALUE(RIGHT(N2,4)),"GOOD","ERROR")</f>
        <v>GOOD</v>
      </c>
      <c r="B2" s="1">
        <v>1001</v>
      </c>
      <c r="C2" s="1">
        <v>100111</v>
      </c>
      <c r="D2" s="1">
        <v>1</v>
      </c>
      <c r="E2" s="1">
        <v>1</v>
      </c>
      <c r="F2" s="1" t="s">
        <v>11</v>
      </c>
      <c r="G2" s="1" t="s">
        <v>12</v>
      </c>
      <c r="H2" s="1">
        <v>15</v>
      </c>
      <c r="I2" s="1">
        <f>H2*4.5/43560</f>
        <v>1.5495867768595042E-3</v>
      </c>
      <c r="J2" s="2">
        <v>729.1</v>
      </c>
      <c r="K2" s="3">
        <f>J2/454</f>
        <v>1.6059471365638767</v>
      </c>
      <c r="L2" s="5">
        <f>K2/I2</f>
        <v>1036.3712187958884</v>
      </c>
      <c r="M2" s="5">
        <f>L2/60</f>
        <v>17.27285364659814</v>
      </c>
      <c r="N2" t="s">
        <v>442</v>
      </c>
      <c r="O2">
        <f>J2</f>
        <v>729.1</v>
      </c>
      <c r="P2">
        <f>L2*0.112085</f>
        <v>116.16166805873715</v>
      </c>
    </row>
    <row r="3" spans="1:16" ht="15.75" thickBot="1" x14ac:dyDescent="0.3">
      <c r="A3" t="str">
        <f t="shared" ref="A3:A66" si="0">IF((B3+3000)=VALUE(RIGHT(N3,4)),"GOOD","ERROR")</f>
        <v>GOOD</v>
      </c>
      <c r="B3" s="1">
        <v>1002</v>
      </c>
      <c r="C3" s="1">
        <v>100212</v>
      </c>
      <c r="D3" s="1">
        <v>1</v>
      </c>
      <c r="E3" s="1">
        <v>2</v>
      </c>
      <c r="F3" s="1" t="s">
        <v>13</v>
      </c>
      <c r="G3" s="1" t="s">
        <v>14</v>
      </c>
      <c r="H3" s="1">
        <v>15</v>
      </c>
      <c r="I3" s="1">
        <f t="shared" ref="I3:I66" si="1">H3*4.5/43560</f>
        <v>1.5495867768595042E-3</v>
      </c>
      <c r="J3" s="2">
        <v>580.20000000000005</v>
      </c>
      <c r="K3" s="3">
        <f t="shared" ref="K3:K66" si="2">J3/454</f>
        <v>1.2779735682819384</v>
      </c>
      <c r="L3" s="5">
        <f t="shared" ref="L3:L66" si="3">K3/I3</f>
        <v>824.71894273127759</v>
      </c>
      <c r="M3" s="5">
        <f t="shared" ref="M3:M66" si="4">L3/60</f>
        <v>13.74531571218796</v>
      </c>
      <c r="N3" t="s">
        <v>443</v>
      </c>
      <c r="O3">
        <f t="shared" ref="O3:O66" si="5">J3</f>
        <v>580.20000000000005</v>
      </c>
      <c r="P3">
        <f t="shared" ref="P3:P66" si="6">L3*0.112085</f>
        <v>92.438622696035253</v>
      </c>
    </row>
    <row r="4" spans="1:16" ht="15.75" thickBot="1" x14ac:dyDescent="0.3">
      <c r="A4" t="str">
        <f t="shared" si="0"/>
        <v>GOOD</v>
      </c>
      <c r="B4" s="1">
        <v>1003</v>
      </c>
      <c r="C4" s="1">
        <v>100313</v>
      </c>
      <c r="D4" s="1">
        <v>1</v>
      </c>
      <c r="E4" s="1">
        <v>3</v>
      </c>
      <c r="F4" s="1" t="s">
        <v>15</v>
      </c>
      <c r="G4" s="1" t="s">
        <v>16</v>
      </c>
      <c r="H4" s="1">
        <v>15</v>
      </c>
      <c r="I4" s="1">
        <f t="shared" si="1"/>
        <v>1.5495867768595042E-3</v>
      </c>
      <c r="J4" s="2">
        <v>616.20000000000005</v>
      </c>
      <c r="K4" s="3">
        <f t="shared" si="2"/>
        <v>1.3572687224669604</v>
      </c>
      <c r="L4" s="5">
        <f t="shared" si="3"/>
        <v>875.89074889867845</v>
      </c>
      <c r="M4" s="5">
        <f t="shared" si="4"/>
        <v>14.598179148311308</v>
      </c>
      <c r="N4" t="s">
        <v>444</v>
      </c>
      <c r="O4">
        <f t="shared" si="5"/>
        <v>616.20000000000005</v>
      </c>
      <c r="P4">
        <f t="shared" si="6"/>
        <v>98.174214590308381</v>
      </c>
    </row>
    <row r="5" spans="1:16" ht="15.75" thickBot="1" x14ac:dyDescent="0.3">
      <c r="A5" t="str">
        <f t="shared" si="0"/>
        <v>GOOD</v>
      </c>
      <c r="B5" s="1">
        <v>1004</v>
      </c>
      <c r="C5" s="1">
        <v>100414</v>
      </c>
      <c r="D5" s="1">
        <v>1</v>
      </c>
      <c r="E5" s="1">
        <v>4</v>
      </c>
      <c r="F5" s="1" t="s">
        <v>17</v>
      </c>
      <c r="G5" s="1" t="s">
        <v>18</v>
      </c>
      <c r="H5" s="1">
        <v>15</v>
      </c>
      <c r="I5" s="1">
        <f t="shared" si="1"/>
        <v>1.5495867768595042E-3</v>
      </c>
      <c r="J5" s="2">
        <v>515.5</v>
      </c>
      <c r="K5" s="3">
        <f t="shared" si="2"/>
        <v>1.1354625550660793</v>
      </c>
      <c r="L5" s="5">
        <f t="shared" si="3"/>
        <v>732.75183553597651</v>
      </c>
      <c r="M5" s="5">
        <f t="shared" si="4"/>
        <v>12.212530592266274</v>
      </c>
      <c r="N5" t="s">
        <v>445</v>
      </c>
      <c r="O5">
        <f t="shared" si="5"/>
        <v>515.5</v>
      </c>
      <c r="P5">
        <f t="shared" si="6"/>
        <v>82.130489486049925</v>
      </c>
    </row>
    <row r="6" spans="1:16" ht="15.75" thickBot="1" x14ac:dyDescent="0.3">
      <c r="A6" t="str">
        <f t="shared" si="0"/>
        <v>GOOD</v>
      </c>
      <c r="B6" s="1">
        <v>1005</v>
      </c>
      <c r="C6" s="1">
        <v>100515</v>
      </c>
      <c r="D6" s="1">
        <v>1</v>
      </c>
      <c r="E6" s="1">
        <v>5</v>
      </c>
      <c r="F6" s="1" t="s">
        <v>19</v>
      </c>
      <c r="G6" s="1" t="s">
        <v>20</v>
      </c>
      <c r="H6" s="1">
        <v>15</v>
      </c>
      <c r="I6" s="1">
        <f t="shared" si="1"/>
        <v>1.5495867768595042E-3</v>
      </c>
      <c r="J6" s="2">
        <v>830.5</v>
      </c>
      <c r="K6" s="3">
        <f t="shared" si="2"/>
        <v>1.829295154185022</v>
      </c>
      <c r="L6" s="5">
        <f t="shared" si="3"/>
        <v>1180.5051395007342</v>
      </c>
      <c r="M6" s="5">
        <f t="shared" si="4"/>
        <v>19.675085658345569</v>
      </c>
      <c r="N6" t="s">
        <v>446</v>
      </c>
      <c r="O6">
        <f t="shared" si="5"/>
        <v>830.5</v>
      </c>
      <c r="P6">
        <f t="shared" si="6"/>
        <v>132.3169185609398</v>
      </c>
    </row>
    <row r="7" spans="1:16" ht="15.75" thickBot="1" x14ac:dyDescent="0.3">
      <c r="A7" t="str">
        <f t="shared" si="0"/>
        <v>GOOD</v>
      </c>
      <c r="B7" s="1">
        <v>1006</v>
      </c>
      <c r="C7" s="1">
        <v>100616</v>
      </c>
      <c r="D7" s="1">
        <v>1</v>
      </c>
      <c r="E7" s="1">
        <v>6</v>
      </c>
      <c r="F7" s="1" t="s">
        <v>21</v>
      </c>
      <c r="G7" s="1" t="s">
        <v>22</v>
      </c>
      <c r="H7" s="1">
        <v>15</v>
      </c>
      <c r="I7" s="1">
        <f t="shared" si="1"/>
        <v>1.5495867768595042E-3</v>
      </c>
      <c r="J7" s="2">
        <v>512.6</v>
      </c>
      <c r="K7" s="3">
        <f t="shared" si="2"/>
        <v>1.1290748898678415</v>
      </c>
      <c r="L7" s="5">
        <f t="shared" si="3"/>
        <v>728.62966226138042</v>
      </c>
      <c r="M7" s="5">
        <f t="shared" si="4"/>
        <v>12.14382770435634</v>
      </c>
      <c r="N7" t="s">
        <v>447</v>
      </c>
      <c r="O7">
        <f t="shared" si="5"/>
        <v>512.6</v>
      </c>
      <c r="P7">
        <f t="shared" si="6"/>
        <v>81.668455694566831</v>
      </c>
    </row>
    <row r="8" spans="1:16" ht="15.75" thickBot="1" x14ac:dyDescent="0.3">
      <c r="A8" t="str">
        <f t="shared" si="0"/>
        <v>GOOD</v>
      </c>
      <c r="B8" s="1">
        <v>1007</v>
      </c>
      <c r="C8" s="1">
        <v>100717</v>
      </c>
      <c r="D8" s="1">
        <v>1</v>
      </c>
      <c r="E8" s="1">
        <v>7</v>
      </c>
      <c r="F8" s="1" t="s">
        <v>23</v>
      </c>
      <c r="G8" s="1" t="s">
        <v>24</v>
      </c>
      <c r="H8" s="1">
        <v>15</v>
      </c>
      <c r="I8" s="1">
        <f t="shared" si="1"/>
        <v>1.5495867768595042E-3</v>
      </c>
      <c r="J8" s="2">
        <v>738.7</v>
      </c>
      <c r="K8" s="3">
        <f t="shared" si="2"/>
        <v>1.6270925110132159</v>
      </c>
      <c r="L8" s="5">
        <f t="shared" si="3"/>
        <v>1050.0170337738621</v>
      </c>
      <c r="M8" s="5">
        <f t="shared" si="4"/>
        <v>17.500283896231036</v>
      </c>
      <c r="N8" t="s">
        <v>448</v>
      </c>
      <c r="O8">
        <f t="shared" si="5"/>
        <v>738.7</v>
      </c>
      <c r="P8">
        <f t="shared" si="6"/>
        <v>117.69115923054333</v>
      </c>
    </row>
    <row r="9" spans="1:16" ht="15.75" thickBot="1" x14ac:dyDescent="0.3">
      <c r="A9" t="str">
        <f t="shared" si="0"/>
        <v>GOOD</v>
      </c>
      <c r="B9" s="1">
        <v>1008</v>
      </c>
      <c r="C9" s="1">
        <v>100818</v>
      </c>
      <c r="D9" s="1">
        <v>1</v>
      </c>
      <c r="E9" s="1">
        <v>8</v>
      </c>
      <c r="F9" s="1" t="s">
        <v>25</v>
      </c>
      <c r="G9" s="1" t="s">
        <v>26</v>
      </c>
      <c r="H9" s="1">
        <v>15</v>
      </c>
      <c r="I9" s="1">
        <f t="shared" si="1"/>
        <v>1.5495867768595042E-3</v>
      </c>
      <c r="J9" s="2">
        <v>849.6</v>
      </c>
      <c r="K9" s="3">
        <f t="shared" si="2"/>
        <v>1.8713656387665198</v>
      </c>
      <c r="L9" s="5">
        <f t="shared" si="3"/>
        <v>1207.6546255506607</v>
      </c>
      <c r="M9" s="5">
        <f t="shared" si="4"/>
        <v>20.127577092511011</v>
      </c>
      <c r="N9" t="s">
        <v>449</v>
      </c>
      <c r="O9">
        <f t="shared" si="5"/>
        <v>849.6</v>
      </c>
      <c r="P9">
        <f t="shared" si="6"/>
        <v>135.35996870484581</v>
      </c>
    </row>
    <row r="10" spans="1:16" ht="15.75" thickBot="1" x14ac:dyDescent="0.3">
      <c r="A10" t="str">
        <f t="shared" si="0"/>
        <v>GOOD</v>
      </c>
      <c r="B10" s="1">
        <v>1009</v>
      </c>
      <c r="C10" s="1">
        <v>100919</v>
      </c>
      <c r="D10" s="1">
        <v>1</v>
      </c>
      <c r="E10" s="1">
        <v>9</v>
      </c>
      <c r="F10" s="1" t="s">
        <v>27</v>
      </c>
      <c r="G10" s="1" t="s">
        <v>28</v>
      </c>
      <c r="H10" s="1">
        <v>15</v>
      </c>
      <c r="I10" s="1">
        <f t="shared" si="1"/>
        <v>1.5495867768595042E-3</v>
      </c>
      <c r="J10" s="2">
        <v>647.9</v>
      </c>
      <c r="K10" s="3">
        <f t="shared" si="2"/>
        <v>1.4270925110132158</v>
      </c>
      <c r="L10" s="5">
        <f t="shared" si="3"/>
        <v>920.95036710719523</v>
      </c>
      <c r="M10" s="5">
        <f t="shared" si="4"/>
        <v>15.34917278511992</v>
      </c>
      <c r="N10" t="s">
        <v>450</v>
      </c>
      <c r="O10">
        <f t="shared" si="5"/>
        <v>647.9</v>
      </c>
      <c r="P10">
        <f t="shared" si="6"/>
        <v>103.22472189720997</v>
      </c>
    </row>
    <row r="11" spans="1:16" ht="15.75" thickBot="1" x14ac:dyDescent="0.3">
      <c r="A11" t="str">
        <f t="shared" si="0"/>
        <v>GOOD</v>
      </c>
      <c r="B11" s="1">
        <v>1010</v>
      </c>
      <c r="C11" s="1">
        <v>1010110</v>
      </c>
      <c r="D11" s="1">
        <v>1</v>
      </c>
      <c r="E11" s="1">
        <v>10</v>
      </c>
      <c r="F11" s="1" t="s">
        <v>29</v>
      </c>
      <c r="G11" s="1" t="s">
        <v>30</v>
      </c>
      <c r="H11" s="1">
        <v>15</v>
      </c>
      <c r="I11" s="1">
        <f t="shared" si="1"/>
        <v>1.5495867768595042E-3</v>
      </c>
      <c r="J11" s="2">
        <v>846</v>
      </c>
      <c r="K11" s="3">
        <f t="shared" si="2"/>
        <v>1.8634361233480177</v>
      </c>
      <c r="L11" s="5">
        <f t="shared" si="3"/>
        <v>1202.5374449339206</v>
      </c>
      <c r="M11" s="5">
        <f t="shared" si="4"/>
        <v>20.042290748898676</v>
      </c>
      <c r="N11" t="s">
        <v>451</v>
      </c>
      <c r="O11">
        <f t="shared" si="5"/>
        <v>846</v>
      </c>
      <c r="P11">
        <f t="shared" si="6"/>
        <v>134.78640951541848</v>
      </c>
    </row>
    <row r="12" spans="1:16" ht="15.75" thickBot="1" x14ac:dyDescent="0.3">
      <c r="A12" t="str">
        <f t="shared" si="0"/>
        <v>GOOD</v>
      </c>
      <c r="B12" s="1">
        <v>1011</v>
      </c>
      <c r="C12" s="1">
        <v>1011111</v>
      </c>
      <c r="D12" s="1">
        <v>1</v>
      </c>
      <c r="E12" s="1">
        <v>11</v>
      </c>
      <c r="F12" s="1" t="s">
        <v>31</v>
      </c>
      <c r="G12" s="1" t="s">
        <v>26</v>
      </c>
      <c r="H12" s="1">
        <v>15</v>
      </c>
      <c r="I12" s="1">
        <f t="shared" si="1"/>
        <v>1.5495867768595042E-3</v>
      </c>
      <c r="J12" s="2">
        <v>1058</v>
      </c>
      <c r="K12" s="3">
        <f t="shared" si="2"/>
        <v>2.3303964757709252</v>
      </c>
      <c r="L12" s="5">
        <f t="shared" si="3"/>
        <v>1503.8825256975038</v>
      </c>
      <c r="M12" s="5">
        <f t="shared" si="4"/>
        <v>25.064708761625063</v>
      </c>
      <c r="N12" t="s">
        <v>452</v>
      </c>
      <c r="O12">
        <f t="shared" si="5"/>
        <v>1058</v>
      </c>
      <c r="P12">
        <f t="shared" si="6"/>
        <v>168.56267289280473</v>
      </c>
    </row>
    <row r="13" spans="1:16" ht="15.75" thickBot="1" x14ac:dyDescent="0.3">
      <c r="A13" t="str">
        <f t="shared" si="0"/>
        <v>GOOD</v>
      </c>
      <c r="B13" s="1">
        <v>1012</v>
      </c>
      <c r="C13" s="1">
        <v>1012112</v>
      </c>
      <c r="D13" s="1">
        <v>1</v>
      </c>
      <c r="E13" s="1">
        <v>12</v>
      </c>
      <c r="F13" s="1" t="s">
        <v>32</v>
      </c>
      <c r="G13" s="1" t="s">
        <v>33</v>
      </c>
      <c r="H13" s="1">
        <v>15</v>
      </c>
      <c r="I13" s="1">
        <f t="shared" si="1"/>
        <v>1.5495867768595042E-3</v>
      </c>
      <c r="J13" s="2">
        <v>758.1</v>
      </c>
      <c r="K13" s="3">
        <f t="shared" si="2"/>
        <v>1.6698237885462555</v>
      </c>
      <c r="L13" s="5">
        <f t="shared" si="3"/>
        <v>1077.5929515418502</v>
      </c>
      <c r="M13" s="5">
        <f t="shared" si="4"/>
        <v>17.959882525697502</v>
      </c>
      <c r="N13" t="s">
        <v>453</v>
      </c>
      <c r="O13">
        <f t="shared" si="5"/>
        <v>758.1</v>
      </c>
      <c r="P13">
        <f t="shared" si="6"/>
        <v>120.78200597356829</v>
      </c>
    </row>
    <row r="14" spans="1:16" ht="15.75" thickBot="1" x14ac:dyDescent="0.3">
      <c r="A14" t="str">
        <f t="shared" si="0"/>
        <v>GOOD</v>
      </c>
      <c r="B14" s="1">
        <v>1013</v>
      </c>
      <c r="C14" s="1">
        <v>1013113</v>
      </c>
      <c r="D14" s="1">
        <v>1</v>
      </c>
      <c r="E14" s="1">
        <v>13</v>
      </c>
      <c r="F14" s="1" t="s">
        <v>34</v>
      </c>
      <c r="G14" s="1" t="s">
        <v>35</v>
      </c>
      <c r="H14" s="1">
        <v>15</v>
      </c>
      <c r="I14" s="1">
        <f t="shared" si="1"/>
        <v>1.5495867768595042E-3</v>
      </c>
      <c r="J14" s="2">
        <v>695.4</v>
      </c>
      <c r="K14" s="3">
        <f t="shared" si="2"/>
        <v>1.5317180616740087</v>
      </c>
      <c r="L14" s="5">
        <f t="shared" si="3"/>
        <v>988.46872246696023</v>
      </c>
      <c r="M14" s="5">
        <f t="shared" si="4"/>
        <v>16.474478707782669</v>
      </c>
      <c r="N14" t="s">
        <v>454</v>
      </c>
      <c r="O14">
        <f t="shared" si="5"/>
        <v>695.4</v>
      </c>
      <c r="P14">
        <f t="shared" si="6"/>
        <v>110.79251675770924</v>
      </c>
    </row>
    <row r="15" spans="1:16" ht="15.75" thickBot="1" x14ac:dyDescent="0.3">
      <c r="A15" t="str">
        <f t="shared" si="0"/>
        <v>GOOD</v>
      </c>
      <c r="B15" s="1">
        <v>1014</v>
      </c>
      <c r="C15" s="1">
        <v>1014114</v>
      </c>
      <c r="D15" s="1">
        <v>1</v>
      </c>
      <c r="E15" s="1">
        <v>14</v>
      </c>
      <c r="F15" s="1" t="s">
        <v>36</v>
      </c>
      <c r="G15" s="1" t="s">
        <v>37</v>
      </c>
      <c r="H15" s="1">
        <v>15</v>
      </c>
      <c r="I15" s="1">
        <f t="shared" si="1"/>
        <v>1.5495867768595042E-3</v>
      </c>
      <c r="J15" s="2">
        <v>646.4</v>
      </c>
      <c r="K15" s="3">
        <f t="shared" si="2"/>
        <v>1.4237885462555067</v>
      </c>
      <c r="L15" s="5">
        <f t="shared" si="3"/>
        <v>918.8182085168869</v>
      </c>
      <c r="M15" s="5">
        <f t="shared" si="4"/>
        <v>15.313636808614781</v>
      </c>
      <c r="N15" t="s">
        <v>455</v>
      </c>
      <c r="O15">
        <f t="shared" si="5"/>
        <v>646.4</v>
      </c>
      <c r="P15">
        <f t="shared" si="6"/>
        <v>102.98573890161528</v>
      </c>
    </row>
    <row r="16" spans="1:16" ht="15.75" thickBot="1" x14ac:dyDescent="0.3">
      <c r="A16" t="str">
        <f t="shared" si="0"/>
        <v>GOOD</v>
      </c>
      <c r="B16" s="1">
        <v>1015</v>
      </c>
      <c r="C16" s="1">
        <v>1015115</v>
      </c>
      <c r="D16" s="1">
        <v>1</v>
      </c>
      <c r="E16" s="1">
        <v>15</v>
      </c>
      <c r="F16" s="1" t="s">
        <v>38</v>
      </c>
      <c r="G16" s="1" t="s">
        <v>39</v>
      </c>
      <c r="H16" s="1">
        <v>15</v>
      </c>
      <c r="I16" s="1">
        <f t="shared" si="1"/>
        <v>1.5495867768595042E-3</v>
      </c>
      <c r="J16" s="2">
        <v>658.2</v>
      </c>
      <c r="K16" s="3">
        <f t="shared" si="2"/>
        <v>1.4497797356828195</v>
      </c>
      <c r="L16" s="5">
        <f t="shared" si="3"/>
        <v>935.59118942731277</v>
      </c>
      <c r="M16" s="5">
        <f t="shared" si="4"/>
        <v>15.593186490455214</v>
      </c>
      <c r="N16" t="s">
        <v>456</v>
      </c>
      <c r="O16">
        <f t="shared" si="5"/>
        <v>658.2</v>
      </c>
      <c r="P16">
        <f t="shared" si="6"/>
        <v>104.86573846696035</v>
      </c>
    </row>
    <row r="17" spans="1:16" ht="15.75" thickBot="1" x14ac:dyDescent="0.3">
      <c r="A17" t="str">
        <f t="shared" si="0"/>
        <v>GOOD</v>
      </c>
      <c r="B17" s="1">
        <v>1016</v>
      </c>
      <c r="C17" s="1">
        <v>1016116</v>
      </c>
      <c r="D17" s="1">
        <v>1</v>
      </c>
      <c r="E17" s="1">
        <v>16</v>
      </c>
      <c r="F17" s="1" t="s">
        <v>40</v>
      </c>
      <c r="G17" s="1" t="s">
        <v>41</v>
      </c>
      <c r="H17" s="1">
        <v>15</v>
      </c>
      <c r="I17" s="1">
        <f t="shared" si="1"/>
        <v>1.5495867768595042E-3</v>
      </c>
      <c r="J17" s="2">
        <v>768.4</v>
      </c>
      <c r="K17" s="3">
        <f t="shared" si="2"/>
        <v>1.692511013215859</v>
      </c>
      <c r="L17" s="5">
        <f t="shared" si="3"/>
        <v>1092.2337738619676</v>
      </c>
      <c r="M17" s="5">
        <f t="shared" si="4"/>
        <v>18.203896231032793</v>
      </c>
      <c r="N17" t="s">
        <v>457</v>
      </c>
      <c r="O17">
        <f t="shared" si="5"/>
        <v>768.4</v>
      </c>
      <c r="P17">
        <f t="shared" si="6"/>
        <v>122.42302254331865</v>
      </c>
    </row>
    <row r="18" spans="1:16" ht="15.75" thickBot="1" x14ac:dyDescent="0.3">
      <c r="A18" t="str">
        <f t="shared" si="0"/>
        <v>GOOD</v>
      </c>
      <c r="B18" s="1">
        <v>1017</v>
      </c>
      <c r="C18" s="1">
        <v>1017117</v>
      </c>
      <c r="D18" s="1">
        <v>1</v>
      </c>
      <c r="E18" s="1">
        <v>17</v>
      </c>
      <c r="F18" s="1" t="s">
        <v>15</v>
      </c>
      <c r="G18" s="1" t="s">
        <v>42</v>
      </c>
      <c r="H18" s="1">
        <v>15</v>
      </c>
      <c r="I18" s="1">
        <f t="shared" si="1"/>
        <v>1.5495867768595042E-3</v>
      </c>
      <c r="J18" s="2">
        <v>602.4</v>
      </c>
      <c r="K18" s="3">
        <f t="shared" si="2"/>
        <v>1.3268722466960352</v>
      </c>
      <c r="L18" s="5">
        <f t="shared" si="3"/>
        <v>856.27488986784135</v>
      </c>
      <c r="M18" s="5">
        <f t="shared" si="4"/>
        <v>14.271248164464023</v>
      </c>
      <c r="N18" t="s">
        <v>458</v>
      </c>
      <c r="O18">
        <f t="shared" si="5"/>
        <v>602.4</v>
      </c>
      <c r="P18">
        <f t="shared" si="6"/>
        <v>95.975571030837003</v>
      </c>
    </row>
    <row r="19" spans="1:16" ht="15.75" thickBot="1" x14ac:dyDescent="0.3">
      <c r="A19" t="str">
        <f t="shared" si="0"/>
        <v>GOOD</v>
      </c>
      <c r="B19" s="1">
        <v>1018</v>
      </c>
      <c r="C19" s="1">
        <v>1018118</v>
      </c>
      <c r="D19" s="1">
        <v>1</v>
      </c>
      <c r="E19" s="1">
        <v>18</v>
      </c>
      <c r="F19" s="1" t="s">
        <v>43</v>
      </c>
      <c r="G19" s="1" t="s">
        <v>44</v>
      </c>
      <c r="H19" s="1">
        <v>15</v>
      </c>
      <c r="I19" s="1">
        <f t="shared" si="1"/>
        <v>1.5495867768595042E-3</v>
      </c>
      <c r="J19" s="2">
        <v>782.8</v>
      </c>
      <c r="K19" s="3">
        <f t="shared" si="2"/>
        <v>1.7242290748898677</v>
      </c>
      <c r="L19" s="5">
        <f t="shared" si="3"/>
        <v>1112.702496328928</v>
      </c>
      <c r="M19" s="5">
        <f t="shared" si="4"/>
        <v>18.545041605482133</v>
      </c>
      <c r="N19" t="s">
        <v>459</v>
      </c>
      <c r="O19">
        <f t="shared" si="5"/>
        <v>782.8</v>
      </c>
      <c r="P19">
        <f t="shared" si="6"/>
        <v>124.71725930102789</v>
      </c>
    </row>
    <row r="20" spans="1:16" ht="15.75" thickBot="1" x14ac:dyDescent="0.3">
      <c r="A20" t="str">
        <f t="shared" si="0"/>
        <v>GOOD</v>
      </c>
      <c r="B20" s="1">
        <v>1019</v>
      </c>
      <c r="C20" s="1">
        <v>1019119</v>
      </c>
      <c r="D20" s="1">
        <v>1</v>
      </c>
      <c r="E20" s="1">
        <v>19</v>
      </c>
      <c r="F20" s="1" t="s">
        <v>45</v>
      </c>
      <c r="G20" s="1" t="s">
        <v>46</v>
      </c>
      <c r="H20" s="1">
        <v>15</v>
      </c>
      <c r="I20" s="1">
        <f t="shared" si="1"/>
        <v>1.5495867768595042E-3</v>
      </c>
      <c r="J20" s="2">
        <v>751.5</v>
      </c>
      <c r="K20" s="3">
        <f t="shared" si="2"/>
        <v>1.6552863436123348</v>
      </c>
      <c r="L20" s="5">
        <f t="shared" si="3"/>
        <v>1068.2114537444934</v>
      </c>
      <c r="M20" s="5">
        <f t="shared" si="4"/>
        <v>17.803524229074888</v>
      </c>
      <c r="N20" t="s">
        <v>460</v>
      </c>
      <c r="O20">
        <f t="shared" si="5"/>
        <v>751.5</v>
      </c>
      <c r="P20">
        <f t="shared" si="6"/>
        <v>119.73048079295154</v>
      </c>
    </row>
    <row r="21" spans="1:16" ht="15.75" thickBot="1" x14ac:dyDescent="0.3">
      <c r="A21" t="str">
        <f t="shared" si="0"/>
        <v>GOOD</v>
      </c>
      <c r="B21" s="1">
        <v>1020</v>
      </c>
      <c r="C21" s="1">
        <v>1020120</v>
      </c>
      <c r="D21" s="1">
        <v>1</v>
      </c>
      <c r="E21" s="1">
        <v>20</v>
      </c>
      <c r="F21" s="1" t="s">
        <v>47</v>
      </c>
      <c r="G21" s="1" t="s">
        <v>48</v>
      </c>
      <c r="H21" s="1">
        <v>15</v>
      </c>
      <c r="I21" s="1">
        <f t="shared" si="1"/>
        <v>1.5495867768595042E-3</v>
      </c>
      <c r="J21" s="2">
        <v>861.6</v>
      </c>
      <c r="K21" s="3">
        <f t="shared" si="2"/>
        <v>1.8977973568281938</v>
      </c>
      <c r="L21" s="5">
        <f t="shared" si="3"/>
        <v>1224.7118942731277</v>
      </c>
      <c r="M21" s="5">
        <f t="shared" si="4"/>
        <v>20.411864904552129</v>
      </c>
      <c r="N21" t="s">
        <v>461</v>
      </c>
      <c r="O21">
        <f t="shared" si="5"/>
        <v>861.6</v>
      </c>
      <c r="P21">
        <f t="shared" si="6"/>
        <v>137.27183266960353</v>
      </c>
    </row>
    <row r="22" spans="1:16" ht="15.75" thickBot="1" x14ac:dyDescent="0.3">
      <c r="A22" t="str">
        <f t="shared" si="0"/>
        <v>GOOD</v>
      </c>
      <c r="B22" s="1">
        <v>1021</v>
      </c>
      <c r="C22" s="1">
        <v>1021121</v>
      </c>
      <c r="D22" s="1">
        <v>1</v>
      </c>
      <c r="E22" s="1">
        <v>21</v>
      </c>
      <c r="F22" s="1" t="s">
        <v>49</v>
      </c>
      <c r="G22" s="1" t="s">
        <v>50</v>
      </c>
      <c r="H22" s="1">
        <v>15</v>
      </c>
      <c r="I22" s="1">
        <f t="shared" si="1"/>
        <v>1.5495867768595042E-3</v>
      </c>
      <c r="J22" s="2">
        <v>1007.4</v>
      </c>
      <c r="K22" s="3">
        <f t="shared" si="2"/>
        <v>2.2189427312775329</v>
      </c>
      <c r="L22" s="5">
        <f t="shared" si="3"/>
        <v>1431.9577092511013</v>
      </c>
      <c r="M22" s="5">
        <f t="shared" si="4"/>
        <v>23.865961820851687</v>
      </c>
      <c r="N22" t="s">
        <v>462</v>
      </c>
      <c r="O22">
        <f t="shared" si="5"/>
        <v>1007.4</v>
      </c>
      <c r="P22">
        <f t="shared" si="6"/>
        <v>160.5009798414097</v>
      </c>
    </row>
    <row r="23" spans="1:16" ht="15.75" thickBot="1" x14ac:dyDescent="0.3">
      <c r="A23" t="str">
        <f t="shared" si="0"/>
        <v>GOOD</v>
      </c>
      <c r="B23" s="1">
        <v>1022</v>
      </c>
      <c r="C23" s="1">
        <v>1022122</v>
      </c>
      <c r="D23" s="1">
        <v>1</v>
      </c>
      <c r="E23" s="1">
        <v>22</v>
      </c>
      <c r="F23" s="1" t="s">
        <v>51</v>
      </c>
      <c r="G23" s="1" t="s">
        <v>52</v>
      </c>
      <c r="H23" s="1">
        <v>15</v>
      </c>
      <c r="I23" s="1">
        <f t="shared" si="1"/>
        <v>1.5495867768595042E-3</v>
      </c>
      <c r="J23" s="2">
        <v>843.9</v>
      </c>
      <c r="K23" s="3">
        <f t="shared" si="2"/>
        <v>1.8588105726872246</v>
      </c>
      <c r="L23" s="5">
        <f t="shared" si="3"/>
        <v>1199.552422907489</v>
      </c>
      <c r="M23" s="5">
        <f t="shared" si="4"/>
        <v>19.992540381791482</v>
      </c>
      <c r="N23" t="s">
        <v>463</v>
      </c>
      <c r="O23">
        <f t="shared" si="5"/>
        <v>843.9</v>
      </c>
      <c r="P23">
        <f t="shared" si="6"/>
        <v>134.45183332158592</v>
      </c>
    </row>
    <row r="24" spans="1:16" ht="15.75" thickBot="1" x14ac:dyDescent="0.3">
      <c r="A24" t="str">
        <f t="shared" si="0"/>
        <v>GOOD</v>
      </c>
      <c r="B24" s="1">
        <v>1023</v>
      </c>
      <c r="C24" s="1">
        <v>1023123</v>
      </c>
      <c r="D24" s="1">
        <v>1</v>
      </c>
      <c r="E24" s="1">
        <v>23</v>
      </c>
      <c r="F24" s="1" t="s">
        <v>53</v>
      </c>
      <c r="G24" s="1" t="s">
        <v>54</v>
      </c>
      <c r="H24" s="1">
        <v>15</v>
      </c>
      <c r="I24" s="1">
        <f t="shared" si="1"/>
        <v>1.5495867768595042E-3</v>
      </c>
      <c r="J24" s="2">
        <v>1297.8</v>
      </c>
      <c r="K24" s="3">
        <f t="shared" si="2"/>
        <v>2.8585903083700441</v>
      </c>
      <c r="L24" s="5">
        <f t="shared" si="3"/>
        <v>1844.7436123348018</v>
      </c>
      <c r="M24" s="5">
        <f t="shared" si="4"/>
        <v>30.745726872246696</v>
      </c>
      <c r="N24" t="s">
        <v>464</v>
      </c>
      <c r="O24">
        <f t="shared" si="5"/>
        <v>1297.8</v>
      </c>
      <c r="P24">
        <f t="shared" si="6"/>
        <v>206.76808778854627</v>
      </c>
    </row>
    <row r="25" spans="1:16" ht="15.75" thickBot="1" x14ac:dyDescent="0.3">
      <c r="A25" t="str">
        <f t="shared" si="0"/>
        <v>GOOD</v>
      </c>
      <c r="B25" s="1">
        <v>1024</v>
      </c>
      <c r="C25" s="1">
        <v>1024124</v>
      </c>
      <c r="D25" s="1">
        <v>1</v>
      </c>
      <c r="E25" s="1">
        <v>24</v>
      </c>
      <c r="F25" s="1" t="s">
        <v>55</v>
      </c>
      <c r="G25" s="1" t="s">
        <v>56</v>
      </c>
      <c r="H25" s="1">
        <v>15</v>
      </c>
      <c r="I25" s="1">
        <f t="shared" si="1"/>
        <v>1.5495867768595042E-3</v>
      </c>
      <c r="J25" s="2">
        <v>990.8</v>
      </c>
      <c r="K25" s="3">
        <f t="shared" si="2"/>
        <v>2.1823788546255507</v>
      </c>
      <c r="L25" s="5">
        <f t="shared" si="3"/>
        <v>1408.3618208516887</v>
      </c>
      <c r="M25" s="5">
        <f t="shared" si="4"/>
        <v>23.472697014194811</v>
      </c>
      <c r="N25" t="s">
        <v>465</v>
      </c>
      <c r="O25">
        <f t="shared" si="5"/>
        <v>990.8</v>
      </c>
      <c r="P25">
        <f t="shared" si="6"/>
        <v>157.85623469016153</v>
      </c>
    </row>
    <row r="26" spans="1:16" ht="15.75" thickBot="1" x14ac:dyDescent="0.3">
      <c r="A26" t="str">
        <f t="shared" si="0"/>
        <v>GOOD</v>
      </c>
      <c r="B26" s="1">
        <v>1025</v>
      </c>
      <c r="C26" s="1">
        <v>1025125</v>
      </c>
      <c r="D26" s="1">
        <v>1</v>
      </c>
      <c r="E26" s="1">
        <v>25</v>
      </c>
      <c r="F26" s="1" t="s">
        <v>57</v>
      </c>
      <c r="G26" s="1" t="s">
        <v>58</v>
      </c>
      <c r="H26" s="1">
        <v>15</v>
      </c>
      <c r="I26" s="1">
        <f t="shared" si="1"/>
        <v>1.5495867768595042E-3</v>
      </c>
      <c r="J26" s="2">
        <v>1237.9000000000001</v>
      </c>
      <c r="K26" s="3">
        <f t="shared" si="2"/>
        <v>2.7266519823788546</v>
      </c>
      <c r="L26" s="5">
        <f t="shared" si="3"/>
        <v>1759.5994126284875</v>
      </c>
      <c r="M26" s="5">
        <f t="shared" si="4"/>
        <v>29.326656877141456</v>
      </c>
      <c r="N26" t="s">
        <v>466</v>
      </c>
      <c r="O26">
        <f t="shared" si="5"/>
        <v>1237.9000000000001</v>
      </c>
      <c r="P26">
        <f t="shared" si="6"/>
        <v>197.22470016446402</v>
      </c>
    </row>
    <row r="27" spans="1:16" ht="15.75" thickBot="1" x14ac:dyDescent="0.3">
      <c r="A27" t="str">
        <f t="shared" si="0"/>
        <v>GOOD</v>
      </c>
      <c r="B27" s="1">
        <v>1026</v>
      </c>
      <c r="C27" s="1">
        <v>1026126</v>
      </c>
      <c r="D27" s="1">
        <v>1</v>
      </c>
      <c r="E27" s="1">
        <v>26</v>
      </c>
      <c r="F27" s="1" t="s">
        <v>59</v>
      </c>
      <c r="G27" s="1" t="s">
        <v>60</v>
      </c>
      <c r="H27" s="1">
        <v>15</v>
      </c>
      <c r="I27" s="1">
        <f t="shared" si="1"/>
        <v>1.5495867768595042E-3</v>
      </c>
      <c r="J27" s="2">
        <v>803.6</v>
      </c>
      <c r="K27" s="3">
        <f t="shared" si="2"/>
        <v>1.7700440528634362</v>
      </c>
      <c r="L27" s="5">
        <f t="shared" si="3"/>
        <v>1142.2684287812042</v>
      </c>
      <c r="M27" s="5">
        <f t="shared" si="4"/>
        <v>19.037807146353405</v>
      </c>
      <c r="N27" t="s">
        <v>467</v>
      </c>
      <c r="O27">
        <f t="shared" si="5"/>
        <v>803.6</v>
      </c>
      <c r="P27">
        <f t="shared" si="6"/>
        <v>128.03115683994127</v>
      </c>
    </row>
    <row r="28" spans="1:16" ht="15.75" thickBot="1" x14ac:dyDescent="0.3">
      <c r="A28" t="str">
        <f t="shared" si="0"/>
        <v>GOOD</v>
      </c>
      <c r="B28" s="1">
        <v>1027</v>
      </c>
      <c r="C28" s="1">
        <v>1027127</v>
      </c>
      <c r="D28" s="1">
        <v>1</v>
      </c>
      <c r="E28" s="1">
        <v>27</v>
      </c>
      <c r="F28" s="1" t="s">
        <v>61</v>
      </c>
      <c r="G28" s="1" t="s">
        <v>62</v>
      </c>
      <c r="H28" s="1">
        <v>15</v>
      </c>
      <c r="I28" s="1">
        <f t="shared" si="1"/>
        <v>1.5495867768595042E-3</v>
      </c>
      <c r="J28" s="2">
        <v>835.7</v>
      </c>
      <c r="K28" s="3">
        <f t="shared" si="2"/>
        <v>1.8407488986784142</v>
      </c>
      <c r="L28" s="5">
        <f t="shared" si="3"/>
        <v>1187.8966226138032</v>
      </c>
      <c r="M28" s="5">
        <f t="shared" si="4"/>
        <v>19.798277043563385</v>
      </c>
      <c r="N28" t="s">
        <v>468</v>
      </c>
      <c r="O28">
        <f t="shared" si="5"/>
        <v>835.7</v>
      </c>
      <c r="P28">
        <f t="shared" si="6"/>
        <v>133.14539294566814</v>
      </c>
    </row>
    <row r="29" spans="1:16" ht="15.75" thickBot="1" x14ac:dyDescent="0.3">
      <c r="A29" t="str">
        <f t="shared" si="0"/>
        <v>GOOD</v>
      </c>
      <c r="B29" s="1">
        <v>1028</v>
      </c>
      <c r="C29" s="1">
        <v>1028128</v>
      </c>
      <c r="D29" s="1">
        <v>1</v>
      </c>
      <c r="E29" s="1">
        <v>28</v>
      </c>
      <c r="F29" s="1" t="s">
        <v>63</v>
      </c>
      <c r="G29" s="1" t="s">
        <v>64</v>
      </c>
      <c r="H29" s="1">
        <v>15</v>
      </c>
      <c r="I29" s="1">
        <f t="shared" si="1"/>
        <v>1.5495867768595042E-3</v>
      </c>
      <c r="J29" s="2">
        <v>772.2</v>
      </c>
      <c r="K29" s="3">
        <f t="shared" si="2"/>
        <v>1.7008810572687225</v>
      </c>
      <c r="L29" s="5">
        <f t="shared" si="3"/>
        <v>1097.6352422907489</v>
      </c>
      <c r="M29" s="5">
        <f t="shared" si="4"/>
        <v>18.293920704845814</v>
      </c>
      <c r="N29" t="s">
        <v>469</v>
      </c>
      <c r="O29">
        <f t="shared" si="5"/>
        <v>772.2</v>
      </c>
      <c r="P29">
        <f t="shared" si="6"/>
        <v>123.02844613215859</v>
      </c>
    </row>
    <row r="30" spans="1:16" ht="15.75" thickBot="1" x14ac:dyDescent="0.3">
      <c r="A30" t="str">
        <f t="shared" si="0"/>
        <v>GOOD</v>
      </c>
      <c r="B30" s="1">
        <v>1029</v>
      </c>
      <c r="C30" s="1">
        <v>1029129</v>
      </c>
      <c r="D30" s="1">
        <v>1</v>
      </c>
      <c r="E30" s="1">
        <v>29</v>
      </c>
      <c r="F30" s="1" t="s">
        <v>65</v>
      </c>
      <c r="G30" s="1" t="s">
        <v>66</v>
      </c>
      <c r="H30" s="1">
        <v>15</v>
      </c>
      <c r="I30" s="1">
        <f t="shared" si="1"/>
        <v>1.5495867768595042E-3</v>
      </c>
      <c r="J30" s="2">
        <v>639.29999999999995</v>
      </c>
      <c r="K30" s="3">
        <f t="shared" si="2"/>
        <v>1.4081497797356828</v>
      </c>
      <c r="L30" s="5">
        <f t="shared" si="3"/>
        <v>908.7259911894273</v>
      </c>
      <c r="M30" s="5">
        <f t="shared" si="4"/>
        <v>15.145433186490456</v>
      </c>
      <c r="N30" t="s">
        <v>470</v>
      </c>
      <c r="O30">
        <f t="shared" si="5"/>
        <v>639.29999999999995</v>
      </c>
      <c r="P30">
        <f t="shared" si="6"/>
        <v>101.85455272246696</v>
      </c>
    </row>
    <row r="31" spans="1:16" ht="15.75" thickBot="1" x14ac:dyDescent="0.3">
      <c r="A31" t="str">
        <f t="shared" si="0"/>
        <v>GOOD</v>
      </c>
      <c r="B31" s="1">
        <v>1030</v>
      </c>
      <c r="C31" s="1">
        <v>1030130</v>
      </c>
      <c r="D31" s="1">
        <v>1</v>
      </c>
      <c r="E31" s="1">
        <v>30</v>
      </c>
      <c r="F31" s="1" t="s">
        <v>55</v>
      </c>
      <c r="G31" s="1" t="s">
        <v>67</v>
      </c>
      <c r="H31" s="1">
        <v>15</v>
      </c>
      <c r="I31" s="1">
        <f t="shared" si="1"/>
        <v>1.5495867768595042E-3</v>
      </c>
      <c r="J31" s="2">
        <v>658.3</v>
      </c>
      <c r="K31" s="3">
        <f t="shared" si="2"/>
        <v>1.45</v>
      </c>
      <c r="L31" s="5">
        <f t="shared" si="3"/>
        <v>935.73333333333323</v>
      </c>
      <c r="M31" s="5">
        <f t="shared" si="4"/>
        <v>15.595555555555555</v>
      </c>
      <c r="N31" t="s">
        <v>471</v>
      </c>
      <c r="O31">
        <f t="shared" si="5"/>
        <v>658.3</v>
      </c>
      <c r="P31">
        <f t="shared" si="6"/>
        <v>104.88167066666666</v>
      </c>
    </row>
    <row r="32" spans="1:16" ht="15.75" thickBot="1" x14ac:dyDescent="0.3">
      <c r="A32" t="str">
        <f t="shared" si="0"/>
        <v>GOOD</v>
      </c>
      <c r="B32" s="1">
        <v>1031</v>
      </c>
      <c r="C32" s="1">
        <v>1031131</v>
      </c>
      <c r="D32" s="1">
        <v>1</v>
      </c>
      <c r="E32" s="1">
        <v>31</v>
      </c>
      <c r="F32" s="1" t="s">
        <v>68</v>
      </c>
      <c r="G32" s="1" t="s">
        <v>69</v>
      </c>
      <c r="H32" s="1">
        <v>15</v>
      </c>
      <c r="I32" s="1">
        <f t="shared" si="1"/>
        <v>1.5495867768595042E-3</v>
      </c>
      <c r="J32" s="2">
        <v>826</v>
      </c>
      <c r="K32" s="3">
        <f t="shared" si="2"/>
        <v>1.8193832599118942</v>
      </c>
      <c r="L32" s="5">
        <f t="shared" si="3"/>
        <v>1174.108663729809</v>
      </c>
      <c r="M32" s="5">
        <f t="shared" si="4"/>
        <v>19.56847772883015</v>
      </c>
      <c r="N32" t="s">
        <v>472</v>
      </c>
      <c r="O32">
        <f t="shared" si="5"/>
        <v>826</v>
      </c>
      <c r="P32">
        <f t="shared" si="6"/>
        <v>131.59996957415564</v>
      </c>
    </row>
    <row r="33" spans="1:16" ht="15.75" thickBot="1" x14ac:dyDescent="0.3">
      <c r="A33" t="str">
        <f t="shared" si="0"/>
        <v>GOOD</v>
      </c>
      <c r="B33" s="1">
        <v>1032</v>
      </c>
      <c r="C33" s="1">
        <v>1032132</v>
      </c>
      <c r="D33" s="1">
        <v>1</v>
      </c>
      <c r="E33" s="1">
        <v>32</v>
      </c>
      <c r="F33" s="1" t="s">
        <v>70</v>
      </c>
      <c r="G33" s="1" t="s">
        <v>71</v>
      </c>
      <c r="H33" s="1">
        <v>15</v>
      </c>
      <c r="I33" s="1">
        <f t="shared" si="1"/>
        <v>1.5495867768595042E-3</v>
      </c>
      <c r="J33" s="2">
        <v>549.29999999999995</v>
      </c>
      <c r="K33" s="3">
        <f t="shared" si="2"/>
        <v>1.2099118942731277</v>
      </c>
      <c r="L33" s="5">
        <f t="shared" si="3"/>
        <v>780.7964757709251</v>
      </c>
      <c r="M33" s="5">
        <f t="shared" si="4"/>
        <v>13.013274596182084</v>
      </c>
      <c r="N33" t="s">
        <v>473</v>
      </c>
      <c r="O33">
        <f t="shared" si="5"/>
        <v>549.29999999999995</v>
      </c>
      <c r="P33">
        <f t="shared" si="6"/>
        <v>87.515572986784136</v>
      </c>
    </row>
    <row r="34" spans="1:16" ht="15.75" thickBot="1" x14ac:dyDescent="0.3">
      <c r="A34" t="str">
        <f t="shared" si="0"/>
        <v>GOOD</v>
      </c>
      <c r="B34" s="1">
        <v>1033</v>
      </c>
      <c r="C34" s="1">
        <v>1033133</v>
      </c>
      <c r="D34" s="1">
        <v>1</v>
      </c>
      <c r="E34" s="1">
        <v>33</v>
      </c>
      <c r="F34" s="1" t="s">
        <v>72</v>
      </c>
      <c r="G34" s="1" t="s">
        <v>73</v>
      </c>
      <c r="H34" s="1">
        <v>15</v>
      </c>
      <c r="I34" s="1">
        <f t="shared" si="1"/>
        <v>1.5495867768595042E-3</v>
      </c>
      <c r="J34" s="2">
        <v>694</v>
      </c>
      <c r="K34" s="3">
        <f t="shared" si="2"/>
        <v>1.5286343612334801</v>
      </c>
      <c r="L34" s="5">
        <f t="shared" si="3"/>
        <v>986.47870778267247</v>
      </c>
      <c r="M34" s="5">
        <f t="shared" si="4"/>
        <v>16.441311796377875</v>
      </c>
      <c r="N34" t="s">
        <v>474</v>
      </c>
      <c r="O34">
        <f t="shared" si="5"/>
        <v>694</v>
      </c>
      <c r="P34">
        <f t="shared" si="6"/>
        <v>110.56946596182085</v>
      </c>
    </row>
    <row r="35" spans="1:16" ht="15.75" thickBot="1" x14ac:dyDescent="0.3">
      <c r="A35" t="str">
        <f t="shared" si="0"/>
        <v>GOOD</v>
      </c>
      <c r="B35" s="1">
        <v>1034</v>
      </c>
      <c r="C35" s="1">
        <v>1034134</v>
      </c>
      <c r="D35" s="1">
        <v>1</v>
      </c>
      <c r="E35" s="1">
        <v>34</v>
      </c>
      <c r="F35" s="1" t="s">
        <v>74</v>
      </c>
      <c r="G35" s="1" t="s">
        <v>75</v>
      </c>
      <c r="H35" s="1">
        <v>15</v>
      </c>
      <c r="I35" s="1">
        <f t="shared" si="1"/>
        <v>1.5495867768595042E-3</v>
      </c>
      <c r="J35" s="2">
        <v>823.7</v>
      </c>
      <c r="K35" s="3">
        <f t="shared" si="2"/>
        <v>1.8143171806167402</v>
      </c>
      <c r="L35" s="5">
        <f t="shared" si="3"/>
        <v>1170.8393538913363</v>
      </c>
      <c r="M35" s="5">
        <f t="shared" si="4"/>
        <v>19.51398923152227</v>
      </c>
      <c r="N35" t="s">
        <v>475</v>
      </c>
      <c r="O35">
        <f t="shared" si="5"/>
        <v>823.7</v>
      </c>
      <c r="P35">
        <f t="shared" si="6"/>
        <v>131.23352898091042</v>
      </c>
    </row>
    <row r="36" spans="1:16" ht="15.75" thickBot="1" x14ac:dyDescent="0.3">
      <c r="A36" t="str">
        <f t="shared" si="0"/>
        <v>GOOD</v>
      </c>
      <c r="B36" s="1">
        <v>1035</v>
      </c>
      <c r="C36" s="1">
        <v>1035135</v>
      </c>
      <c r="D36" s="1">
        <v>1</v>
      </c>
      <c r="E36" s="1">
        <v>35</v>
      </c>
      <c r="F36" s="1" t="s">
        <v>76</v>
      </c>
      <c r="G36" s="1" t="s">
        <v>77</v>
      </c>
      <c r="H36" s="1">
        <v>15</v>
      </c>
      <c r="I36" s="1">
        <f t="shared" si="1"/>
        <v>1.5495867768595042E-3</v>
      </c>
      <c r="J36" s="2">
        <v>689.3</v>
      </c>
      <c r="K36" s="3">
        <f t="shared" si="2"/>
        <v>1.5182819383259911</v>
      </c>
      <c r="L36" s="5">
        <f t="shared" si="3"/>
        <v>979.79794419970619</v>
      </c>
      <c r="M36" s="5">
        <f t="shared" si="4"/>
        <v>16.329965736661769</v>
      </c>
      <c r="N36" t="s">
        <v>476</v>
      </c>
      <c r="O36">
        <f t="shared" si="5"/>
        <v>689.3</v>
      </c>
      <c r="P36">
        <f t="shared" si="6"/>
        <v>109.82065257562407</v>
      </c>
    </row>
    <row r="37" spans="1:16" ht="15.75" thickBot="1" x14ac:dyDescent="0.3">
      <c r="A37" t="str">
        <f t="shared" si="0"/>
        <v>GOOD</v>
      </c>
      <c r="B37" s="1">
        <v>1036</v>
      </c>
      <c r="C37" s="1">
        <v>1036136</v>
      </c>
      <c r="D37" s="1">
        <v>1</v>
      </c>
      <c r="E37" s="1">
        <v>36</v>
      </c>
      <c r="F37" s="1" t="s">
        <v>68</v>
      </c>
      <c r="G37" s="1" t="s">
        <v>78</v>
      </c>
      <c r="H37" s="1">
        <v>15</v>
      </c>
      <c r="I37" s="1">
        <f t="shared" si="1"/>
        <v>1.5495867768595042E-3</v>
      </c>
      <c r="J37" s="2">
        <v>917.2</v>
      </c>
      <c r="K37" s="3">
        <f t="shared" si="2"/>
        <v>2.0202643171806169</v>
      </c>
      <c r="L37" s="5">
        <f t="shared" si="3"/>
        <v>1303.7439060205581</v>
      </c>
      <c r="M37" s="5">
        <f t="shared" si="4"/>
        <v>21.729065100342634</v>
      </c>
      <c r="N37" t="s">
        <v>477</v>
      </c>
      <c r="O37">
        <f t="shared" si="5"/>
        <v>917.2</v>
      </c>
      <c r="P37">
        <f t="shared" si="6"/>
        <v>146.13013570631426</v>
      </c>
    </row>
    <row r="38" spans="1:16" ht="15.75" thickBot="1" x14ac:dyDescent="0.3">
      <c r="A38" t="str">
        <f t="shared" si="0"/>
        <v>GOOD</v>
      </c>
      <c r="B38" s="1">
        <v>1037</v>
      </c>
      <c r="C38" s="1">
        <v>1037137</v>
      </c>
      <c r="D38" s="1">
        <v>1</v>
      </c>
      <c r="E38" s="1">
        <v>37</v>
      </c>
      <c r="F38" s="1" t="s">
        <v>79</v>
      </c>
      <c r="G38" s="1" t="s">
        <v>80</v>
      </c>
      <c r="H38" s="1">
        <v>15</v>
      </c>
      <c r="I38" s="1">
        <f t="shared" si="1"/>
        <v>1.5495867768595042E-3</v>
      </c>
      <c r="J38" s="2">
        <v>779</v>
      </c>
      <c r="K38" s="3">
        <f t="shared" si="2"/>
        <v>1.7158590308370043</v>
      </c>
      <c r="L38" s="5">
        <f t="shared" si="3"/>
        <v>1107.3010279001467</v>
      </c>
      <c r="M38" s="5">
        <f t="shared" si="4"/>
        <v>18.455017131669113</v>
      </c>
      <c r="N38" t="s">
        <v>478</v>
      </c>
      <c r="O38">
        <f t="shared" si="5"/>
        <v>779</v>
      </c>
      <c r="P38">
        <f t="shared" si="6"/>
        <v>124.11183571218794</v>
      </c>
    </row>
    <row r="39" spans="1:16" ht="15.75" thickBot="1" x14ac:dyDescent="0.3">
      <c r="A39" t="str">
        <f t="shared" si="0"/>
        <v>GOOD</v>
      </c>
      <c r="B39" s="1">
        <v>1038</v>
      </c>
      <c r="C39" s="1">
        <v>1038138</v>
      </c>
      <c r="D39" s="1">
        <v>1</v>
      </c>
      <c r="E39" s="1">
        <v>38</v>
      </c>
      <c r="F39" s="1" t="s">
        <v>81</v>
      </c>
      <c r="G39" s="1" t="s">
        <v>82</v>
      </c>
      <c r="H39" s="1">
        <v>15</v>
      </c>
      <c r="I39" s="1">
        <f t="shared" si="1"/>
        <v>1.5495867768595042E-3</v>
      </c>
      <c r="J39" s="2">
        <v>492.4</v>
      </c>
      <c r="K39" s="3">
        <f t="shared" si="2"/>
        <v>1.0845814977973567</v>
      </c>
      <c r="L39" s="5">
        <f t="shared" si="3"/>
        <v>699.91659324522755</v>
      </c>
      <c r="M39" s="5">
        <f t="shared" si="4"/>
        <v>11.665276554087125</v>
      </c>
      <c r="N39" t="s">
        <v>479</v>
      </c>
      <c r="O39">
        <f t="shared" si="5"/>
        <v>492.4</v>
      </c>
      <c r="P39">
        <f t="shared" si="6"/>
        <v>78.450151353891329</v>
      </c>
    </row>
    <row r="40" spans="1:16" ht="15.75" thickBot="1" x14ac:dyDescent="0.3">
      <c r="A40" t="str">
        <f t="shared" si="0"/>
        <v>GOOD</v>
      </c>
      <c r="B40" s="1">
        <v>1039</v>
      </c>
      <c r="C40" s="1">
        <v>1039139</v>
      </c>
      <c r="D40" s="1">
        <v>1</v>
      </c>
      <c r="E40" s="1">
        <v>39</v>
      </c>
      <c r="F40" s="1" t="s">
        <v>83</v>
      </c>
      <c r="G40" s="1" t="s">
        <v>18</v>
      </c>
      <c r="H40" s="1">
        <v>15</v>
      </c>
      <c r="I40" s="1">
        <f t="shared" si="1"/>
        <v>1.5495867768595042E-3</v>
      </c>
      <c r="J40" s="2">
        <v>765.4</v>
      </c>
      <c r="K40" s="3">
        <f t="shared" si="2"/>
        <v>1.6859030837004405</v>
      </c>
      <c r="L40" s="5">
        <f t="shared" si="3"/>
        <v>1087.9694566813509</v>
      </c>
      <c r="M40" s="5">
        <f t="shared" si="4"/>
        <v>18.132824278022515</v>
      </c>
      <c r="N40" t="s">
        <v>480</v>
      </c>
      <c r="O40">
        <f t="shared" si="5"/>
        <v>765.4</v>
      </c>
      <c r="P40">
        <f t="shared" si="6"/>
        <v>121.94505655212923</v>
      </c>
    </row>
    <row r="41" spans="1:16" ht="15.75" thickBot="1" x14ac:dyDescent="0.3">
      <c r="A41" t="str">
        <f t="shared" si="0"/>
        <v>GOOD</v>
      </c>
      <c r="B41" s="1">
        <v>1040</v>
      </c>
      <c r="C41" s="1">
        <v>1040140</v>
      </c>
      <c r="D41" s="1">
        <v>1</v>
      </c>
      <c r="E41" s="1">
        <v>40</v>
      </c>
      <c r="F41" s="1" t="s">
        <v>84</v>
      </c>
      <c r="G41" s="1" t="s">
        <v>85</v>
      </c>
      <c r="H41" s="1">
        <v>15</v>
      </c>
      <c r="I41" s="1">
        <f t="shared" si="1"/>
        <v>1.5495867768595042E-3</v>
      </c>
      <c r="J41" s="2">
        <v>762.1</v>
      </c>
      <c r="K41" s="3">
        <f t="shared" si="2"/>
        <v>1.6786343612334802</v>
      </c>
      <c r="L41" s="5">
        <f t="shared" si="3"/>
        <v>1083.2787077826724</v>
      </c>
      <c r="M41" s="5">
        <f t="shared" si="4"/>
        <v>18.054645129711208</v>
      </c>
      <c r="N41" t="s">
        <v>481</v>
      </c>
      <c r="O41">
        <f t="shared" si="5"/>
        <v>762.1</v>
      </c>
      <c r="P41">
        <f t="shared" si="6"/>
        <v>121.41929396182084</v>
      </c>
    </row>
    <row r="42" spans="1:16" ht="15.75" thickBot="1" x14ac:dyDescent="0.3">
      <c r="A42" t="str">
        <f t="shared" si="0"/>
        <v>GOOD</v>
      </c>
      <c r="B42" s="1">
        <v>1041</v>
      </c>
      <c r="C42" s="1">
        <v>1041240</v>
      </c>
      <c r="D42" s="1">
        <v>2</v>
      </c>
      <c r="E42" s="1">
        <v>40</v>
      </c>
      <c r="F42" s="1" t="s">
        <v>86</v>
      </c>
      <c r="G42" s="1" t="s">
        <v>87</v>
      </c>
      <c r="H42" s="1">
        <v>14.5</v>
      </c>
      <c r="I42" s="1">
        <f t="shared" si="1"/>
        <v>1.4979338842975207E-3</v>
      </c>
      <c r="J42" s="2">
        <v>637.20000000000005</v>
      </c>
      <c r="K42" s="3">
        <f t="shared" si="2"/>
        <v>1.4035242290748899</v>
      </c>
      <c r="L42" s="5">
        <f t="shared" si="3"/>
        <v>936.97341637551267</v>
      </c>
      <c r="M42" s="5">
        <f t="shared" si="4"/>
        <v>15.616223606258545</v>
      </c>
      <c r="N42" t="s">
        <v>482</v>
      </c>
      <c r="O42">
        <f t="shared" si="5"/>
        <v>637.20000000000005</v>
      </c>
      <c r="P42">
        <f t="shared" si="6"/>
        <v>105.02066537444934</v>
      </c>
    </row>
    <row r="43" spans="1:16" ht="15.75" thickBot="1" x14ac:dyDescent="0.3">
      <c r="A43" t="str">
        <f t="shared" si="0"/>
        <v>GOOD</v>
      </c>
      <c r="B43" s="1">
        <v>1042</v>
      </c>
      <c r="C43" s="1">
        <v>1042239</v>
      </c>
      <c r="D43" s="1">
        <v>2</v>
      </c>
      <c r="E43" s="1">
        <v>39</v>
      </c>
      <c r="F43" s="1" t="s">
        <v>88</v>
      </c>
      <c r="G43" s="1" t="s">
        <v>89</v>
      </c>
      <c r="H43" s="1">
        <v>14.5</v>
      </c>
      <c r="I43" s="1">
        <f t="shared" si="1"/>
        <v>1.4979338842975207E-3</v>
      </c>
      <c r="J43" s="2">
        <v>552.20000000000005</v>
      </c>
      <c r="K43" s="3">
        <f t="shared" si="2"/>
        <v>1.2162995594713657</v>
      </c>
      <c r="L43" s="5">
        <f t="shared" si="3"/>
        <v>811.98480935743578</v>
      </c>
      <c r="M43" s="5">
        <f t="shared" si="4"/>
        <v>13.533080155957263</v>
      </c>
      <c r="N43" t="s">
        <v>483</v>
      </c>
      <c r="O43">
        <f t="shared" si="5"/>
        <v>552.20000000000005</v>
      </c>
      <c r="P43">
        <f t="shared" si="6"/>
        <v>91.011317356828187</v>
      </c>
    </row>
    <row r="44" spans="1:16" ht="15.75" thickBot="1" x14ac:dyDescent="0.3">
      <c r="A44" t="str">
        <f t="shared" si="0"/>
        <v>GOOD</v>
      </c>
      <c r="B44" s="1">
        <v>1043</v>
      </c>
      <c r="C44" s="1">
        <v>1043238</v>
      </c>
      <c r="D44" s="1">
        <v>2</v>
      </c>
      <c r="E44" s="1">
        <v>38</v>
      </c>
      <c r="F44" s="1" t="s">
        <v>90</v>
      </c>
      <c r="G44" s="1" t="s">
        <v>91</v>
      </c>
      <c r="H44" s="1">
        <v>14.5</v>
      </c>
      <c r="I44" s="1">
        <f t="shared" si="1"/>
        <v>1.4979338842975207E-3</v>
      </c>
      <c r="J44" s="2">
        <v>669.3</v>
      </c>
      <c r="K44" s="3">
        <f t="shared" si="2"/>
        <v>1.4742290748898677</v>
      </c>
      <c r="L44" s="5">
        <f t="shared" si="3"/>
        <v>984.17499620233923</v>
      </c>
      <c r="M44" s="5">
        <f t="shared" si="4"/>
        <v>16.402916603372322</v>
      </c>
      <c r="N44" t="s">
        <v>484</v>
      </c>
      <c r="O44">
        <f t="shared" si="5"/>
        <v>669.3</v>
      </c>
      <c r="P44">
        <f t="shared" si="6"/>
        <v>110.3112544493392</v>
      </c>
    </row>
    <row r="45" spans="1:16" ht="15.75" thickBot="1" x14ac:dyDescent="0.3">
      <c r="A45" t="str">
        <f t="shared" si="0"/>
        <v>GOOD</v>
      </c>
      <c r="B45" s="1">
        <v>1044</v>
      </c>
      <c r="C45" s="1">
        <v>1044237</v>
      </c>
      <c r="D45" s="1">
        <v>2</v>
      </c>
      <c r="E45" s="1">
        <v>37</v>
      </c>
      <c r="F45" s="1" t="s">
        <v>92</v>
      </c>
      <c r="G45" s="1" t="s">
        <v>93</v>
      </c>
      <c r="H45" s="1">
        <v>14.5</v>
      </c>
      <c r="I45" s="1">
        <f t="shared" si="1"/>
        <v>1.4979338842975207E-3</v>
      </c>
      <c r="J45" s="2">
        <v>826</v>
      </c>
      <c r="K45" s="3">
        <f t="shared" si="2"/>
        <v>1.8193832599118942</v>
      </c>
      <c r="L45" s="5">
        <f t="shared" si="3"/>
        <v>1214.5951693756645</v>
      </c>
      <c r="M45" s="5">
        <f t="shared" si="4"/>
        <v>20.24325282292774</v>
      </c>
      <c r="N45" t="s">
        <v>485</v>
      </c>
      <c r="O45">
        <f t="shared" si="5"/>
        <v>826</v>
      </c>
      <c r="P45">
        <f t="shared" si="6"/>
        <v>136.13789955947135</v>
      </c>
    </row>
    <row r="46" spans="1:16" ht="15.75" thickBot="1" x14ac:dyDescent="0.3">
      <c r="A46" t="str">
        <f t="shared" si="0"/>
        <v>GOOD</v>
      </c>
      <c r="B46" s="1">
        <v>1045</v>
      </c>
      <c r="C46" s="1">
        <v>1045236</v>
      </c>
      <c r="D46" s="1">
        <v>2</v>
      </c>
      <c r="E46" s="1">
        <v>36</v>
      </c>
      <c r="F46" s="1" t="s">
        <v>94</v>
      </c>
      <c r="G46" s="1" t="s">
        <v>95</v>
      </c>
      <c r="H46" s="1">
        <v>14.5</v>
      </c>
      <c r="I46" s="1">
        <f t="shared" si="1"/>
        <v>1.4979338842975207E-3</v>
      </c>
      <c r="J46" s="2">
        <v>1045.2</v>
      </c>
      <c r="K46" s="3">
        <f t="shared" si="2"/>
        <v>2.3022026431718063</v>
      </c>
      <c r="L46" s="5">
        <f t="shared" si="3"/>
        <v>1536.9187300622816</v>
      </c>
      <c r="M46" s="5">
        <f t="shared" si="4"/>
        <v>25.615312167704694</v>
      </c>
      <c r="N46" t="s">
        <v>486</v>
      </c>
      <c r="O46">
        <f t="shared" si="5"/>
        <v>1045.2</v>
      </c>
      <c r="P46">
        <f t="shared" si="6"/>
        <v>172.26553585903085</v>
      </c>
    </row>
    <row r="47" spans="1:16" ht="15.75" thickBot="1" x14ac:dyDescent="0.3">
      <c r="A47" t="str">
        <f t="shared" si="0"/>
        <v>GOOD</v>
      </c>
      <c r="B47" s="1">
        <v>1046</v>
      </c>
      <c r="C47" s="1">
        <v>1046235</v>
      </c>
      <c r="D47" s="1">
        <v>2</v>
      </c>
      <c r="E47" s="1">
        <v>35</v>
      </c>
      <c r="F47" s="1" t="s">
        <v>96</v>
      </c>
      <c r="G47" s="1" t="s">
        <v>97</v>
      </c>
      <c r="H47" s="1">
        <v>14.5</v>
      </c>
      <c r="I47" s="1">
        <f t="shared" si="1"/>
        <v>1.4979338842975207E-3</v>
      </c>
      <c r="J47" s="2">
        <v>902.2</v>
      </c>
      <c r="K47" s="3">
        <f t="shared" si="2"/>
        <v>1.9872246696035243</v>
      </c>
      <c r="L47" s="5">
        <f t="shared" si="3"/>
        <v>1326.6437794318699</v>
      </c>
      <c r="M47" s="5">
        <f t="shared" si="4"/>
        <v>22.110729657197833</v>
      </c>
      <c r="N47" t="s">
        <v>487</v>
      </c>
      <c r="O47">
        <f t="shared" si="5"/>
        <v>902.2</v>
      </c>
      <c r="P47">
        <f t="shared" si="6"/>
        <v>148.69686801762114</v>
      </c>
    </row>
    <row r="48" spans="1:16" ht="15.75" thickBot="1" x14ac:dyDescent="0.3">
      <c r="A48" t="str">
        <f t="shared" si="0"/>
        <v>GOOD</v>
      </c>
      <c r="B48" s="1">
        <v>1047</v>
      </c>
      <c r="C48" s="1">
        <v>1047234</v>
      </c>
      <c r="D48" s="1">
        <v>2</v>
      </c>
      <c r="E48" s="1">
        <v>34</v>
      </c>
      <c r="F48" s="1" t="s">
        <v>98</v>
      </c>
      <c r="G48" s="1" t="s">
        <v>99</v>
      </c>
      <c r="H48" s="1">
        <v>14.5</v>
      </c>
      <c r="I48" s="1">
        <f t="shared" si="1"/>
        <v>1.4979338842975207E-3</v>
      </c>
      <c r="J48" s="2">
        <v>954.9</v>
      </c>
      <c r="K48" s="3">
        <f t="shared" si="2"/>
        <v>2.1033039647577092</v>
      </c>
      <c r="L48" s="5">
        <f t="shared" si="3"/>
        <v>1404.1367157830775</v>
      </c>
      <c r="M48" s="5">
        <f t="shared" si="4"/>
        <v>23.402278596384626</v>
      </c>
      <c r="N48" t="s">
        <v>488</v>
      </c>
      <c r="O48">
        <f t="shared" si="5"/>
        <v>954.9</v>
      </c>
      <c r="P48">
        <f t="shared" si="6"/>
        <v>157.38266378854624</v>
      </c>
    </row>
    <row r="49" spans="1:16" ht="15.75" thickBot="1" x14ac:dyDescent="0.3">
      <c r="A49" t="str">
        <f t="shared" si="0"/>
        <v>GOOD</v>
      </c>
      <c r="B49" s="1">
        <v>1048</v>
      </c>
      <c r="C49" s="1">
        <v>1048233</v>
      </c>
      <c r="D49" s="1">
        <v>2</v>
      </c>
      <c r="E49" s="1">
        <v>33</v>
      </c>
      <c r="F49" s="1" t="s">
        <v>100</v>
      </c>
      <c r="G49" s="1" t="s">
        <v>101</v>
      </c>
      <c r="H49" s="1">
        <v>14.5</v>
      </c>
      <c r="I49" s="1">
        <f t="shared" si="1"/>
        <v>1.4979338842975207E-3</v>
      </c>
      <c r="J49" s="2">
        <v>858.7</v>
      </c>
      <c r="K49" s="3">
        <f t="shared" si="2"/>
        <v>1.8914096916299561</v>
      </c>
      <c r="L49" s="5">
        <f t="shared" si="3"/>
        <v>1262.6790217226189</v>
      </c>
      <c r="M49" s="5">
        <f t="shared" si="4"/>
        <v>21.044650362043647</v>
      </c>
      <c r="N49" t="s">
        <v>489</v>
      </c>
      <c r="O49">
        <f t="shared" si="5"/>
        <v>858.7</v>
      </c>
      <c r="P49">
        <f t="shared" si="6"/>
        <v>141.52737814977974</v>
      </c>
    </row>
    <row r="50" spans="1:16" ht="15.75" thickBot="1" x14ac:dyDescent="0.3">
      <c r="A50" t="str">
        <f t="shared" si="0"/>
        <v>GOOD</v>
      </c>
      <c r="B50" s="1">
        <v>1049</v>
      </c>
      <c r="C50" s="1">
        <v>1049232</v>
      </c>
      <c r="D50" s="1">
        <v>2</v>
      </c>
      <c r="E50" s="1">
        <v>32</v>
      </c>
      <c r="F50" s="1" t="s">
        <v>102</v>
      </c>
      <c r="G50" s="1" t="s">
        <v>103</v>
      </c>
      <c r="H50" s="1">
        <v>14.5</v>
      </c>
      <c r="I50" s="1">
        <f t="shared" si="1"/>
        <v>1.4979338842975207E-3</v>
      </c>
      <c r="J50" s="2">
        <v>625.1</v>
      </c>
      <c r="K50" s="3">
        <f t="shared" si="2"/>
        <v>1.3768722466960353</v>
      </c>
      <c r="L50" s="5">
        <f t="shared" si="3"/>
        <v>919.18092055293937</v>
      </c>
      <c r="M50" s="5">
        <f t="shared" si="4"/>
        <v>15.319682009215656</v>
      </c>
      <c r="N50" t="s">
        <v>490</v>
      </c>
      <c r="O50">
        <f t="shared" si="5"/>
        <v>625.1</v>
      </c>
      <c r="P50">
        <f t="shared" si="6"/>
        <v>103.02639348017621</v>
      </c>
    </row>
    <row r="51" spans="1:16" ht="15.75" thickBot="1" x14ac:dyDescent="0.3">
      <c r="A51" t="str">
        <f t="shared" si="0"/>
        <v>GOOD</v>
      </c>
      <c r="B51" s="1">
        <v>1050</v>
      </c>
      <c r="C51" s="1">
        <v>1050231</v>
      </c>
      <c r="D51" s="1">
        <v>2</v>
      </c>
      <c r="E51" s="1">
        <v>31</v>
      </c>
      <c r="F51" s="1" t="s">
        <v>104</v>
      </c>
      <c r="G51" s="1" t="s">
        <v>105</v>
      </c>
      <c r="H51" s="1">
        <v>14.5</v>
      </c>
      <c r="I51" s="1">
        <f t="shared" si="1"/>
        <v>1.4979338842975207E-3</v>
      </c>
      <c r="J51" s="2">
        <v>818.3</v>
      </c>
      <c r="K51" s="3">
        <f t="shared" si="2"/>
        <v>1.8024229074889866</v>
      </c>
      <c r="L51" s="5">
        <f t="shared" si="3"/>
        <v>1203.2726720340268</v>
      </c>
      <c r="M51" s="5">
        <f t="shared" si="4"/>
        <v>20.054544533900447</v>
      </c>
      <c r="N51" t="s">
        <v>491</v>
      </c>
      <c r="O51">
        <f t="shared" si="5"/>
        <v>818.3</v>
      </c>
      <c r="P51">
        <f t="shared" si="6"/>
        <v>134.86881744493388</v>
      </c>
    </row>
    <row r="52" spans="1:16" ht="15.75" thickBot="1" x14ac:dyDescent="0.3">
      <c r="A52" t="str">
        <f t="shared" si="0"/>
        <v>GOOD</v>
      </c>
      <c r="B52" s="1">
        <v>1051</v>
      </c>
      <c r="C52" s="1">
        <v>1051230</v>
      </c>
      <c r="D52" s="1">
        <v>2</v>
      </c>
      <c r="E52" s="1">
        <v>30</v>
      </c>
      <c r="F52" s="1" t="s">
        <v>106</v>
      </c>
      <c r="G52" s="1" t="s">
        <v>107</v>
      </c>
      <c r="H52" s="1">
        <v>14.5</v>
      </c>
      <c r="I52" s="1">
        <f t="shared" si="1"/>
        <v>1.4979338842975207E-3</v>
      </c>
      <c r="J52" s="2">
        <v>1048.2</v>
      </c>
      <c r="K52" s="3">
        <f t="shared" si="2"/>
        <v>2.3088105726872246</v>
      </c>
      <c r="L52" s="5">
        <f t="shared" si="3"/>
        <v>1541.3300926629195</v>
      </c>
      <c r="M52" s="5">
        <f t="shared" si="4"/>
        <v>25.688834877715326</v>
      </c>
      <c r="N52" t="s">
        <v>492</v>
      </c>
      <c r="O52">
        <f t="shared" si="5"/>
        <v>1048.2</v>
      </c>
      <c r="P52">
        <f t="shared" si="6"/>
        <v>172.75998343612335</v>
      </c>
    </row>
    <row r="53" spans="1:16" ht="15.75" thickBot="1" x14ac:dyDescent="0.3">
      <c r="A53" t="str">
        <f t="shared" si="0"/>
        <v>GOOD</v>
      </c>
      <c r="B53" s="1">
        <v>1052</v>
      </c>
      <c r="C53" s="1">
        <v>1052229</v>
      </c>
      <c r="D53" s="1">
        <v>2</v>
      </c>
      <c r="E53" s="1">
        <v>29</v>
      </c>
      <c r="F53" s="1" t="s">
        <v>108</v>
      </c>
      <c r="G53" s="1" t="s">
        <v>109</v>
      </c>
      <c r="H53" s="1">
        <v>14.5</v>
      </c>
      <c r="I53" s="1">
        <f t="shared" si="1"/>
        <v>1.4979338842975207E-3</v>
      </c>
      <c r="J53" s="2">
        <v>1000.8</v>
      </c>
      <c r="K53" s="3">
        <f t="shared" si="2"/>
        <v>2.2044052863436123</v>
      </c>
      <c r="L53" s="5">
        <f t="shared" si="3"/>
        <v>1471.630563572839</v>
      </c>
      <c r="M53" s="5">
        <f t="shared" si="4"/>
        <v>24.527176059547319</v>
      </c>
      <c r="N53" t="s">
        <v>493</v>
      </c>
      <c r="O53">
        <f t="shared" si="5"/>
        <v>1000.8</v>
      </c>
      <c r="P53">
        <f t="shared" si="6"/>
        <v>164.94771171806167</v>
      </c>
    </row>
    <row r="54" spans="1:16" ht="15.75" thickBot="1" x14ac:dyDescent="0.3">
      <c r="A54" t="str">
        <f t="shared" si="0"/>
        <v>GOOD</v>
      </c>
      <c r="B54" s="1">
        <v>1053</v>
      </c>
      <c r="C54" s="1">
        <v>1053228</v>
      </c>
      <c r="D54" s="1">
        <v>2</v>
      </c>
      <c r="E54" s="1">
        <v>28</v>
      </c>
      <c r="F54" s="1" t="s">
        <v>57</v>
      </c>
      <c r="G54" s="1" t="s">
        <v>58</v>
      </c>
      <c r="H54" s="1">
        <v>14.5</v>
      </c>
      <c r="I54" s="1">
        <f t="shared" si="1"/>
        <v>1.4979338842975207E-3</v>
      </c>
      <c r="J54" s="2">
        <v>1305</v>
      </c>
      <c r="K54" s="3">
        <f t="shared" si="2"/>
        <v>2.8744493392070485</v>
      </c>
      <c r="L54" s="5">
        <f t="shared" si="3"/>
        <v>1918.9427312775329</v>
      </c>
      <c r="M54" s="5">
        <f t="shared" si="4"/>
        <v>31.982378854625548</v>
      </c>
      <c r="N54" t="s">
        <v>494</v>
      </c>
      <c r="O54">
        <f t="shared" si="5"/>
        <v>1305</v>
      </c>
      <c r="P54">
        <f t="shared" si="6"/>
        <v>215.08469603524227</v>
      </c>
    </row>
    <row r="55" spans="1:16" ht="15.75" thickBot="1" x14ac:dyDescent="0.3">
      <c r="A55" t="str">
        <f t="shared" si="0"/>
        <v>GOOD</v>
      </c>
      <c r="B55" s="1">
        <v>1054</v>
      </c>
      <c r="C55" s="1">
        <v>1054227</v>
      </c>
      <c r="D55" s="1">
        <v>2</v>
      </c>
      <c r="E55" s="1">
        <v>27</v>
      </c>
      <c r="F55" s="1" t="s">
        <v>110</v>
      </c>
      <c r="G55" s="1" t="s">
        <v>58</v>
      </c>
      <c r="H55" s="1">
        <v>14.5</v>
      </c>
      <c r="I55" s="1">
        <f t="shared" si="1"/>
        <v>1.4979338842975207E-3</v>
      </c>
      <c r="J55" s="2">
        <v>744.8</v>
      </c>
      <c r="K55" s="3">
        <f t="shared" si="2"/>
        <v>1.6405286343612333</v>
      </c>
      <c r="L55" s="5">
        <f t="shared" si="3"/>
        <v>1095.1942883183956</v>
      </c>
      <c r="M55" s="5">
        <f t="shared" si="4"/>
        <v>18.253238138639926</v>
      </c>
      <c r="N55" t="s">
        <v>495</v>
      </c>
      <c r="O55">
        <f t="shared" si="5"/>
        <v>744.8</v>
      </c>
      <c r="P55">
        <f t="shared" si="6"/>
        <v>122.75485180616738</v>
      </c>
    </row>
    <row r="56" spans="1:16" ht="15.75" thickBot="1" x14ac:dyDescent="0.3">
      <c r="A56" t="str">
        <f t="shared" si="0"/>
        <v>GOOD</v>
      </c>
      <c r="B56" s="1">
        <v>1055</v>
      </c>
      <c r="C56" s="1">
        <v>1055226</v>
      </c>
      <c r="D56" s="1">
        <v>2</v>
      </c>
      <c r="E56" s="1">
        <v>26</v>
      </c>
      <c r="F56" s="1" t="s">
        <v>111</v>
      </c>
      <c r="G56" s="1" t="s">
        <v>112</v>
      </c>
      <c r="H56" s="1">
        <v>14.5</v>
      </c>
      <c r="I56" s="1">
        <f t="shared" si="1"/>
        <v>1.4979338842975207E-3</v>
      </c>
      <c r="J56" s="2">
        <v>1069</v>
      </c>
      <c r="K56" s="3">
        <f t="shared" si="2"/>
        <v>2.3546255506607929</v>
      </c>
      <c r="L56" s="5">
        <f t="shared" si="3"/>
        <v>1571.915540027343</v>
      </c>
      <c r="M56" s="5">
        <f t="shared" si="4"/>
        <v>26.198592333789051</v>
      </c>
      <c r="N56" t="s">
        <v>496</v>
      </c>
      <c r="O56">
        <f t="shared" si="5"/>
        <v>1069</v>
      </c>
      <c r="P56">
        <f t="shared" si="6"/>
        <v>176.18815330396475</v>
      </c>
    </row>
    <row r="57" spans="1:16" ht="15.75" thickBot="1" x14ac:dyDescent="0.3">
      <c r="A57" t="str">
        <f t="shared" si="0"/>
        <v>GOOD</v>
      </c>
      <c r="B57" s="1">
        <v>1056</v>
      </c>
      <c r="C57" s="1">
        <v>1056225</v>
      </c>
      <c r="D57" s="1">
        <v>2</v>
      </c>
      <c r="E57" s="1">
        <v>25</v>
      </c>
      <c r="F57" s="1" t="s">
        <v>113</v>
      </c>
      <c r="G57" s="1" t="s">
        <v>114</v>
      </c>
      <c r="H57" s="1">
        <v>14.5</v>
      </c>
      <c r="I57" s="1">
        <f t="shared" si="1"/>
        <v>1.4979338842975207E-3</v>
      </c>
      <c r="J57" s="2">
        <v>974.4</v>
      </c>
      <c r="K57" s="3">
        <f t="shared" si="2"/>
        <v>2.1462555066079294</v>
      </c>
      <c r="L57" s="5">
        <f t="shared" si="3"/>
        <v>1432.8105726872245</v>
      </c>
      <c r="M57" s="5">
        <f t="shared" si="4"/>
        <v>23.88017621145374</v>
      </c>
      <c r="N57" t="s">
        <v>497</v>
      </c>
      <c r="O57">
        <f t="shared" si="5"/>
        <v>974.4</v>
      </c>
      <c r="P57">
        <f t="shared" si="6"/>
        <v>160.59657303964755</v>
      </c>
    </row>
    <row r="58" spans="1:16" ht="15.75" thickBot="1" x14ac:dyDescent="0.3">
      <c r="A58" t="str">
        <f t="shared" si="0"/>
        <v>GOOD</v>
      </c>
      <c r="B58" s="1">
        <v>1057</v>
      </c>
      <c r="C58" s="1">
        <v>1057224</v>
      </c>
      <c r="D58" s="1">
        <v>2</v>
      </c>
      <c r="E58" s="1">
        <v>24</v>
      </c>
      <c r="F58" s="1" t="s">
        <v>115</v>
      </c>
      <c r="G58" s="1" t="s">
        <v>116</v>
      </c>
      <c r="H58" s="1">
        <v>14.5</v>
      </c>
      <c r="I58" s="1">
        <f t="shared" si="1"/>
        <v>1.4979338842975207E-3</v>
      </c>
      <c r="J58" s="2">
        <v>592.4</v>
      </c>
      <c r="K58" s="3">
        <f t="shared" si="2"/>
        <v>1.3048458149779736</v>
      </c>
      <c r="L58" s="5">
        <f t="shared" si="3"/>
        <v>871.09706820598512</v>
      </c>
      <c r="M58" s="5">
        <f t="shared" si="4"/>
        <v>14.518284470099752</v>
      </c>
      <c r="N58" t="s">
        <v>498</v>
      </c>
      <c r="O58">
        <f t="shared" si="5"/>
        <v>592.4</v>
      </c>
      <c r="P58">
        <f t="shared" si="6"/>
        <v>97.636914889867853</v>
      </c>
    </row>
    <row r="59" spans="1:16" ht="15.75" thickBot="1" x14ac:dyDescent="0.3">
      <c r="A59" t="str">
        <f t="shared" si="0"/>
        <v>GOOD</v>
      </c>
      <c r="B59" s="1">
        <v>1058</v>
      </c>
      <c r="C59" s="1">
        <v>1058223</v>
      </c>
      <c r="D59" s="1">
        <v>2</v>
      </c>
      <c r="E59" s="1">
        <v>23</v>
      </c>
      <c r="F59" s="1" t="s">
        <v>117</v>
      </c>
      <c r="G59" s="1" t="s">
        <v>118</v>
      </c>
      <c r="H59" s="1">
        <v>14.5</v>
      </c>
      <c r="I59" s="1">
        <f t="shared" si="1"/>
        <v>1.4979338842975207E-3</v>
      </c>
      <c r="J59" s="2">
        <v>942.7</v>
      </c>
      <c r="K59" s="3">
        <f t="shared" si="2"/>
        <v>2.076431718061674</v>
      </c>
      <c r="L59" s="5">
        <f t="shared" si="3"/>
        <v>1386.197174540483</v>
      </c>
      <c r="M59" s="5">
        <f t="shared" si="4"/>
        <v>23.103286242341383</v>
      </c>
      <c r="N59" t="s">
        <v>499</v>
      </c>
      <c r="O59">
        <f t="shared" si="5"/>
        <v>942.7</v>
      </c>
      <c r="P59">
        <f t="shared" si="6"/>
        <v>155.37191030837005</v>
      </c>
    </row>
    <row r="60" spans="1:16" ht="15.75" thickBot="1" x14ac:dyDescent="0.3">
      <c r="A60" t="str">
        <f t="shared" si="0"/>
        <v>GOOD</v>
      </c>
      <c r="B60" s="1">
        <v>1059</v>
      </c>
      <c r="C60" s="1">
        <v>1059222</v>
      </c>
      <c r="D60" s="1">
        <v>2</v>
      </c>
      <c r="E60" s="1">
        <v>22</v>
      </c>
      <c r="F60" s="1" t="s">
        <v>119</v>
      </c>
      <c r="G60" s="1" t="s">
        <v>35</v>
      </c>
      <c r="H60" s="1">
        <v>14.5</v>
      </c>
      <c r="I60" s="1">
        <f t="shared" si="1"/>
        <v>1.4979338842975207E-3</v>
      </c>
      <c r="J60" s="2">
        <v>767.9</v>
      </c>
      <c r="K60" s="3">
        <f t="shared" si="2"/>
        <v>1.6914096916299559</v>
      </c>
      <c r="L60" s="5">
        <f t="shared" si="3"/>
        <v>1129.1617803433085</v>
      </c>
      <c r="M60" s="5">
        <f t="shared" si="4"/>
        <v>18.819363005721808</v>
      </c>
      <c r="N60" t="s">
        <v>500</v>
      </c>
      <c r="O60">
        <f t="shared" si="5"/>
        <v>767.9</v>
      </c>
      <c r="P60">
        <f t="shared" si="6"/>
        <v>126.56209814977973</v>
      </c>
    </row>
    <row r="61" spans="1:16" ht="15.75" thickBot="1" x14ac:dyDescent="0.3">
      <c r="A61" t="str">
        <f t="shared" si="0"/>
        <v>GOOD</v>
      </c>
      <c r="B61" s="1">
        <v>1060</v>
      </c>
      <c r="C61" s="1">
        <v>1060221</v>
      </c>
      <c r="D61" s="1">
        <v>2</v>
      </c>
      <c r="E61" s="1">
        <v>21</v>
      </c>
      <c r="F61" s="1" t="s">
        <v>120</v>
      </c>
      <c r="G61" s="1" t="s">
        <v>64</v>
      </c>
      <c r="H61" s="1">
        <v>14.5</v>
      </c>
      <c r="I61" s="1">
        <f t="shared" si="1"/>
        <v>1.4979338842975207E-3</v>
      </c>
      <c r="J61" s="2">
        <v>1052.0999999999999</v>
      </c>
      <c r="K61" s="3">
        <f t="shared" si="2"/>
        <v>2.3174008810572686</v>
      </c>
      <c r="L61" s="5">
        <f t="shared" si="3"/>
        <v>1547.0648640437489</v>
      </c>
      <c r="M61" s="5">
        <f t="shared" si="4"/>
        <v>25.784414400729148</v>
      </c>
      <c r="N61" t="s">
        <v>501</v>
      </c>
      <c r="O61">
        <f t="shared" si="5"/>
        <v>1052.0999999999999</v>
      </c>
      <c r="P61">
        <f t="shared" si="6"/>
        <v>173.40276528634359</v>
      </c>
    </row>
    <row r="62" spans="1:16" ht="15.75" thickBot="1" x14ac:dyDescent="0.3">
      <c r="A62" t="str">
        <f t="shared" si="0"/>
        <v>GOOD</v>
      </c>
      <c r="B62" s="1">
        <v>1061</v>
      </c>
      <c r="C62" s="1">
        <v>1061220</v>
      </c>
      <c r="D62" s="1">
        <v>2</v>
      </c>
      <c r="E62" s="1">
        <v>20</v>
      </c>
      <c r="F62" s="1" t="s">
        <v>121</v>
      </c>
      <c r="G62" s="1" t="s">
        <v>122</v>
      </c>
      <c r="H62" s="1">
        <v>14.5</v>
      </c>
      <c r="I62" s="1">
        <f t="shared" si="1"/>
        <v>1.4979338842975207E-3</v>
      </c>
      <c r="J62" s="2">
        <v>1099.9000000000001</v>
      </c>
      <c r="K62" s="3">
        <f t="shared" si="2"/>
        <v>2.4226872246696036</v>
      </c>
      <c r="L62" s="5">
        <f t="shared" si="3"/>
        <v>1617.3525748139145</v>
      </c>
      <c r="M62" s="5">
        <f t="shared" si="4"/>
        <v>26.955876246898576</v>
      </c>
      <c r="N62" t="s">
        <v>502</v>
      </c>
      <c r="O62">
        <f t="shared" si="5"/>
        <v>1099.9000000000001</v>
      </c>
      <c r="P62">
        <f t="shared" si="6"/>
        <v>181.28096334801762</v>
      </c>
    </row>
    <row r="63" spans="1:16" ht="15.75" thickBot="1" x14ac:dyDescent="0.3">
      <c r="A63" t="str">
        <f t="shared" si="0"/>
        <v>GOOD</v>
      </c>
      <c r="B63" s="1">
        <v>1062</v>
      </c>
      <c r="C63" s="1">
        <v>1062219</v>
      </c>
      <c r="D63" s="1">
        <v>2</v>
      </c>
      <c r="E63" s="1">
        <v>19</v>
      </c>
      <c r="F63" s="1" t="s">
        <v>123</v>
      </c>
      <c r="G63" s="1" t="s">
        <v>124</v>
      </c>
      <c r="H63" s="1">
        <v>14.5</v>
      </c>
      <c r="I63" s="1">
        <f t="shared" si="1"/>
        <v>1.4979338842975207E-3</v>
      </c>
      <c r="J63" s="2">
        <v>1150</v>
      </c>
      <c r="K63" s="3">
        <f t="shared" si="2"/>
        <v>2.5330396475770924</v>
      </c>
      <c r="L63" s="5">
        <f t="shared" si="3"/>
        <v>1691.0223302445693</v>
      </c>
      <c r="M63" s="5">
        <f t="shared" si="4"/>
        <v>28.183705504076155</v>
      </c>
      <c r="N63" t="s">
        <v>503</v>
      </c>
      <c r="O63">
        <f t="shared" si="5"/>
        <v>1150</v>
      </c>
      <c r="P63">
        <f t="shared" si="6"/>
        <v>189.53823788546256</v>
      </c>
    </row>
    <row r="64" spans="1:16" ht="15.75" thickBot="1" x14ac:dyDescent="0.3">
      <c r="A64" t="str">
        <f t="shared" si="0"/>
        <v>GOOD</v>
      </c>
      <c r="B64" s="1">
        <v>1063</v>
      </c>
      <c r="C64" s="1">
        <v>1063218</v>
      </c>
      <c r="D64" s="1">
        <v>2</v>
      </c>
      <c r="E64" s="1">
        <v>18</v>
      </c>
      <c r="F64" s="1" t="s">
        <v>125</v>
      </c>
      <c r="G64" s="1" t="s">
        <v>50</v>
      </c>
      <c r="H64" s="1">
        <v>14.5</v>
      </c>
      <c r="I64" s="1">
        <f t="shared" si="1"/>
        <v>1.4979338842975207E-3</v>
      </c>
      <c r="J64" s="2">
        <v>893.2</v>
      </c>
      <c r="K64" s="3">
        <f t="shared" si="2"/>
        <v>1.9674008810572687</v>
      </c>
      <c r="L64" s="5">
        <f t="shared" si="3"/>
        <v>1313.4096916299559</v>
      </c>
      <c r="M64" s="5">
        <f t="shared" si="4"/>
        <v>21.890161527165933</v>
      </c>
      <c r="N64" t="s">
        <v>504</v>
      </c>
      <c r="O64">
        <f t="shared" si="5"/>
        <v>893.2</v>
      </c>
      <c r="P64">
        <f t="shared" si="6"/>
        <v>147.21352528634361</v>
      </c>
    </row>
    <row r="65" spans="1:16" ht="15.75" thickBot="1" x14ac:dyDescent="0.3">
      <c r="A65" t="str">
        <f t="shared" si="0"/>
        <v>GOOD</v>
      </c>
      <c r="B65" s="1">
        <v>1064</v>
      </c>
      <c r="C65" s="1">
        <v>1064217</v>
      </c>
      <c r="D65" s="1">
        <v>2</v>
      </c>
      <c r="E65" s="1">
        <v>17</v>
      </c>
      <c r="F65" s="1" t="s">
        <v>34</v>
      </c>
      <c r="G65" s="1" t="s">
        <v>126</v>
      </c>
      <c r="H65" s="1">
        <v>14.5</v>
      </c>
      <c r="I65" s="1">
        <f t="shared" si="1"/>
        <v>1.4979338842975207E-3</v>
      </c>
      <c r="J65" s="2">
        <v>792.1</v>
      </c>
      <c r="K65" s="3">
        <f t="shared" si="2"/>
        <v>1.7447136563876653</v>
      </c>
      <c r="L65" s="5">
        <f t="shared" si="3"/>
        <v>1164.7467719884551</v>
      </c>
      <c r="M65" s="5">
        <f t="shared" si="4"/>
        <v>19.412446199807583</v>
      </c>
      <c r="N65" t="s">
        <v>505</v>
      </c>
      <c r="O65">
        <f t="shared" si="5"/>
        <v>792.1</v>
      </c>
      <c r="P65">
        <f t="shared" si="6"/>
        <v>130.55064193832598</v>
      </c>
    </row>
    <row r="66" spans="1:16" ht="15.75" thickBot="1" x14ac:dyDescent="0.3">
      <c r="A66" t="str">
        <f t="shared" si="0"/>
        <v>GOOD</v>
      </c>
      <c r="B66" s="1">
        <v>1065</v>
      </c>
      <c r="C66" s="1">
        <v>1065216</v>
      </c>
      <c r="D66" s="1">
        <v>2</v>
      </c>
      <c r="E66" s="1">
        <v>16</v>
      </c>
      <c r="F66" s="1" t="s">
        <v>19</v>
      </c>
      <c r="G66" s="1" t="s">
        <v>127</v>
      </c>
      <c r="H66" s="1">
        <v>14.5</v>
      </c>
      <c r="I66" s="1">
        <f t="shared" si="1"/>
        <v>1.4979338842975207E-3</v>
      </c>
      <c r="J66" s="2">
        <v>859.1</v>
      </c>
      <c r="K66" s="3">
        <f t="shared" si="2"/>
        <v>1.8922907488986784</v>
      </c>
      <c r="L66" s="5">
        <f t="shared" si="3"/>
        <v>1263.2672034027039</v>
      </c>
      <c r="M66" s="5">
        <f t="shared" si="4"/>
        <v>21.054453390045065</v>
      </c>
      <c r="N66" t="s">
        <v>506</v>
      </c>
      <c r="O66">
        <f t="shared" si="5"/>
        <v>859.1</v>
      </c>
      <c r="P66">
        <f t="shared" si="6"/>
        <v>141.59330449339208</v>
      </c>
    </row>
    <row r="67" spans="1:16" ht="15.75" thickBot="1" x14ac:dyDescent="0.3">
      <c r="A67" t="str">
        <f t="shared" ref="A67:A130" si="7">IF((B67+3000)=VALUE(RIGHT(N67,4)),"GOOD","ERROR")</f>
        <v>GOOD</v>
      </c>
      <c r="B67" s="1">
        <v>1066</v>
      </c>
      <c r="C67" s="1">
        <v>1066215</v>
      </c>
      <c r="D67" s="1">
        <v>2</v>
      </c>
      <c r="E67" s="1">
        <v>15</v>
      </c>
      <c r="F67" s="1" t="s">
        <v>128</v>
      </c>
      <c r="G67" s="1" t="s">
        <v>73</v>
      </c>
      <c r="H67" s="1">
        <v>14.5</v>
      </c>
      <c r="I67" s="1">
        <f t="shared" ref="I67:I130" si="8">H67*4.5/43560</f>
        <v>1.4979338842975207E-3</v>
      </c>
      <c r="J67" s="2">
        <v>733.2</v>
      </c>
      <c r="K67" s="3">
        <f t="shared" ref="K67:K130" si="9">J67/454</f>
        <v>1.6149779735682821</v>
      </c>
      <c r="L67" s="5">
        <f t="shared" ref="L67:L130" si="10">K67/I67</f>
        <v>1078.1370195959289</v>
      </c>
      <c r="M67" s="5">
        <f t="shared" ref="M67:M130" si="11">L67/60</f>
        <v>17.968950326598815</v>
      </c>
      <c r="N67" t="s">
        <v>507</v>
      </c>
      <c r="O67">
        <f t="shared" ref="O67:O130" si="12">J67</f>
        <v>733.2</v>
      </c>
      <c r="P67">
        <f t="shared" ref="P67:P130" si="13">L67*0.112085</f>
        <v>120.84298784140969</v>
      </c>
    </row>
    <row r="68" spans="1:16" ht="15.75" thickBot="1" x14ac:dyDescent="0.3">
      <c r="A68" t="str">
        <f t="shared" si="7"/>
        <v>GOOD</v>
      </c>
      <c r="B68" s="1">
        <v>1067</v>
      </c>
      <c r="C68" s="1">
        <v>1067214</v>
      </c>
      <c r="D68" s="1">
        <v>2</v>
      </c>
      <c r="E68" s="1">
        <v>14</v>
      </c>
      <c r="F68" s="1" t="s">
        <v>129</v>
      </c>
      <c r="G68" s="1" t="s">
        <v>91</v>
      </c>
      <c r="H68" s="1">
        <v>14.5</v>
      </c>
      <c r="I68" s="1">
        <f t="shared" si="8"/>
        <v>1.4979338842975207E-3</v>
      </c>
      <c r="J68" s="2">
        <v>721.4</v>
      </c>
      <c r="K68" s="3">
        <f t="shared" si="9"/>
        <v>1.5889867841409691</v>
      </c>
      <c r="L68" s="5">
        <f t="shared" si="10"/>
        <v>1060.7856600334194</v>
      </c>
      <c r="M68" s="5">
        <f t="shared" si="11"/>
        <v>17.67976100055699</v>
      </c>
      <c r="N68" t="s">
        <v>508</v>
      </c>
      <c r="O68">
        <f t="shared" si="12"/>
        <v>721.4</v>
      </c>
      <c r="P68">
        <f t="shared" si="13"/>
        <v>118.89816070484582</v>
      </c>
    </row>
    <row r="69" spans="1:16" ht="15.75" thickBot="1" x14ac:dyDescent="0.3">
      <c r="A69" t="str">
        <f t="shared" si="7"/>
        <v>GOOD</v>
      </c>
      <c r="B69" s="1">
        <v>1068</v>
      </c>
      <c r="C69" s="1">
        <v>1068213</v>
      </c>
      <c r="D69" s="1">
        <v>2</v>
      </c>
      <c r="E69" s="1">
        <v>13</v>
      </c>
      <c r="F69" s="1" t="s">
        <v>34</v>
      </c>
      <c r="G69" s="1" t="s">
        <v>35</v>
      </c>
      <c r="H69" s="1">
        <v>14.5</v>
      </c>
      <c r="I69" s="1">
        <f t="shared" si="8"/>
        <v>1.4979338842975207E-3</v>
      </c>
      <c r="J69" s="2">
        <v>553.5</v>
      </c>
      <c r="K69" s="3">
        <f t="shared" si="9"/>
        <v>1.2191629955947136</v>
      </c>
      <c r="L69" s="5">
        <f t="shared" si="10"/>
        <v>813.89639981771222</v>
      </c>
      <c r="M69" s="5">
        <f t="shared" si="11"/>
        <v>13.56493999696187</v>
      </c>
      <c r="N69" t="s">
        <v>509</v>
      </c>
      <c r="O69">
        <f t="shared" si="12"/>
        <v>553.5</v>
      </c>
      <c r="P69">
        <f t="shared" si="13"/>
        <v>91.225577973568278</v>
      </c>
    </row>
    <row r="70" spans="1:16" ht="15.75" thickBot="1" x14ac:dyDescent="0.3">
      <c r="A70" t="str">
        <f t="shared" si="7"/>
        <v>GOOD</v>
      </c>
      <c r="B70" s="1">
        <v>1069</v>
      </c>
      <c r="C70" s="1">
        <v>1069212</v>
      </c>
      <c r="D70" s="1">
        <v>2</v>
      </c>
      <c r="E70" s="1">
        <v>12</v>
      </c>
      <c r="F70" s="1" t="s">
        <v>130</v>
      </c>
      <c r="G70" s="1" t="s">
        <v>131</v>
      </c>
      <c r="H70" s="1">
        <v>14.5</v>
      </c>
      <c r="I70" s="1">
        <f t="shared" si="8"/>
        <v>1.4979338842975207E-3</v>
      </c>
      <c r="J70" s="2">
        <v>813.4</v>
      </c>
      <c r="K70" s="3">
        <f t="shared" si="9"/>
        <v>1.7916299559471365</v>
      </c>
      <c r="L70" s="5">
        <f t="shared" si="10"/>
        <v>1196.0674464529848</v>
      </c>
      <c r="M70" s="5">
        <f t="shared" si="11"/>
        <v>19.934457440883079</v>
      </c>
      <c r="N70" t="s">
        <v>510</v>
      </c>
      <c r="O70">
        <f t="shared" si="12"/>
        <v>813.4</v>
      </c>
      <c r="P70">
        <f t="shared" si="13"/>
        <v>134.06121973568281</v>
      </c>
    </row>
    <row r="71" spans="1:16" ht="15.75" thickBot="1" x14ac:dyDescent="0.3">
      <c r="A71" t="str">
        <f t="shared" si="7"/>
        <v>GOOD</v>
      </c>
      <c r="B71" s="1">
        <v>1070</v>
      </c>
      <c r="C71" s="1">
        <v>1070211</v>
      </c>
      <c r="D71" s="1">
        <v>2</v>
      </c>
      <c r="E71" s="1">
        <v>11</v>
      </c>
      <c r="F71" s="1" t="s">
        <v>132</v>
      </c>
      <c r="G71" s="1" t="s">
        <v>133</v>
      </c>
      <c r="H71" s="1">
        <v>14.5</v>
      </c>
      <c r="I71" s="1">
        <f t="shared" si="8"/>
        <v>1.4979338842975207E-3</v>
      </c>
      <c r="J71" s="2">
        <v>653.1</v>
      </c>
      <c r="K71" s="3">
        <f t="shared" si="9"/>
        <v>1.438546255506608</v>
      </c>
      <c r="L71" s="5">
        <f t="shared" si="10"/>
        <v>960.35363815889411</v>
      </c>
      <c r="M71" s="5">
        <f t="shared" si="11"/>
        <v>16.005893969314901</v>
      </c>
      <c r="N71" t="s">
        <v>511</v>
      </c>
      <c r="O71">
        <f t="shared" si="12"/>
        <v>653.1</v>
      </c>
      <c r="P71">
        <f t="shared" si="13"/>
        <v>107.64123753303966</v>
      </c>
    </row>
    <row r="72" spans="1:16" ht="15.75" thickBot="1" x14ac:dyDescent="0.3">
      <c r="A72" t="str">
        <f t="shared" si="7"/>
        <v>GOOD</v>
      </c>
      <c r="B72" s="1">
        <v>1071</v>
      </c>
      <c r="C72" s="1">
        <v>1071210</v>
      </c>
      <c r="D72" s="1">
        <v>2</v>
      </c>
      <c r="E72" s="1">
        <v>10</v>
      </c>
      <c r="F72" s="1" t="s">
        <v>134</v>
      </c>
      <c r="G72" s="1" t="s">
        <v>135</v>
      </c>
      <c r="H72" s="1">
        <v>14.5</v>
      </c>
      <c r="I72" s="1">
        <f t="shared" si="8"/>
        <v>1.4979338842975207E-3</v>
      </c>
      <c r="J72" s="2">
        <v>800.6</v>
      </c>
      <c r="K72" s="3">
        <f t="shared" si="9"/>
        <v>1.7634361233480176</v>
      </c>
      <c r="L72" s="5">
        <f t="shared" si="10"/>
        <v>1177.2456326902627</v>
      </c>
      <c r="M72" s="5">
        <f t="shared" si="11"/>
        <v>19.620760544837712</v>
      </c>
      <c r="N72" t="s">
        <v>512</v>
      </c>
      <c r="O72">
        <f t="shared" si="12"/>
        <v>800.6</v>
      </c>
      <c r="P72">
        <f t="shared" si="13"/>
        <v>131.95157674008811</v>
      </c>
    </row>
    <row r="73" spans="1:16" ht="15.75" thickBot="1" x14ac:dyDescent="0.3">
      <c r="A73" t="str">
        <f t="shared" si="7"/>
        <v>GOOD</v>
      </c>
      <c r="B73" s="1">
        <v>1072</v>
      </c>
      <c r="C73" s="1">
        <v>107229</v>
      </c>
      <c r="D73" s="1">
        <v>2</v>
      </c>
      <c r="E73" s="1">
        <v>9</v>
      </c>
      <c r="F73" s="1" t="s">
        <v>136</v>
      </c>
      <c r="G73" s="1" t="s">
        <v>137</v>
      </c>
      <c r="H73" s="1">
        <v>14.5</v>
      </c>
      <c r="I73" s="1">
        <f t="shared" si="8"/>
        <v>1.4979338842975207E-3</v>
      </c>
      <c r="J73" s="2">
        <v>694.8</v>
      </c>
      <c r="K73" s="3">
        <f t="shared" si="9"/>
        <v>1.530396475770925</v>
      </c>
      <c r="L73" s="5">
        <f t="shared" si="10"/>
        <v>1021.6715783077623</v>
      </c>
      <c r="M73" s="5">
        <f t="shared" si="11"/>
        <v>17.027859638462704</v>
      </c>
      <c r="N73" t="s">
        <v>513</v>
      </c>
      <c r="O73">
        <f t="shared" si="12"/>
        <v>694.8</v>
      </c>
      <c r="P73">
        <f t="shared" si="13"/>
        <v>114.51405885462555</v>
      </c>
    </row>
    <row r="74" spans="1:16" ht="15.75" thickBot="1" x14ac:dyDescent="0.3">
      <c r="A74" t="str">
        <f t="shared" si="7"/>
        <v>GOOD</v>
      </c>
      <c r="B74" s="1">
        <v>1073</v>
      </c>
      <c r="C74" s="1">
        <v>107328</v>
      </c>
      <c r="D74" s="1">
        <v>2</v>
      </c>
      <c r="E74" s="1">
        <v>8</v>
      </c>
      <c r="F74" s="1" t="s">
        <v>138</v>
      </c>
      <c r="G74" s="1" t="s">
        <v>139</v>
      </c>
      <c r="H74" s="1">
        <v>14.5</v>
      </c>
      <c r="I74" s="1">
        <f t="shared" si="8"/>
        <v>1.4979338842975207E-3</v>
      </c>
      <c r="J74" s="2">
        <v>817</v>
      </c>
      <c r="K74" s="3">
        <f t="shared" si="9"/>
        <v>1.7995594713656389</v>
      </c>
      <c r="L74" s="5">
        <f t="shared" si="10"/>
        <v>1201.3610815737507</v>
      </c>
      <c r="M74" s="5">
        <f t="shared" si="11"/>
        <v>20.022684692895844</v>
      </c>
      <c r="N74" t="s">
        <v>514</v>
      </c>
      <c r="O74">
        <f t="shared" si="12"/>
        <v>817</v>
      </c>
      <c r="P74">
        <f t="shared" si="13"/>
        <v>134.65455682819385</v>
      </c>
    </row>
    <row r="75" spans="1:16" ht="15.75" thickBot="1" x14ac:dyDescent="0.3">
      <c r="A75" t="str">
        <f t="shared" si="7"/>
        <v>GOOD</v>
      </c>
      <c r="B75" s="1">
        <v>1074</v>
      </c>
      <c r="C75" s="1">
        <v>107427</v>
      </c>
      <c r="D75" s="1">
        <v>2</v>
      </c>
      <c r="E75" s="1">
        <v>7</v>
      </c>
      <c r="F75" s="1" t="s">
        <v>140</v>
      </c>
      <c r="G75" s="1" t="s">
        <v>141</v>
      </c>
      <c r="H75" s="1">
        <v>14.5</v>
      </c>
      <c r="I75" s="1">
        <f t="shared" si="8"/>
        <v>1.4979338842975207E-3</v>
      </c>
      <c r="J75" s="2">
        <v>924.6</v>
      </c>
      <c r="K75" s="3">
        <f t="shared" si="9"/>
        <v>2.0365638766519822</v>
      </c>
      <c r="L75" s="5">
        <f t="shared" si="10"/>
        <v>1359.5819535166336</v>
      </c>
      <c r="M75" s="5">
        <f t="shared" si="11"/>
        <v>22.659699225277226</v>
      </c>
      <c r="N75" t="s">
        <v>515</v>
      </c>
      <c r="O75">
        <f t="shared" si="12"/>
        <v>924.6</v>
      </c>
      <c r="P75">
        <f t="shared" si="13"/>
        <v>152.38874325991188</v>
      </c>
    </row>
    <row r="76" spans="1:16" ht="15.75" thickBot="1" x14ac:dyDescent="0.3">
      <c r="A76" t="str">
        <f t="shared" si="7"/>
        <v>GOOD</v>
      </c>
      <c r="B76" s="1">
        <v>1075</v>
      </c>
      <c r="C76" s="1">
        <v>107526</v>
      </c>
      <c r="D76" s="1">
        <v>2</v>
      </c>
      <c r="E76" s="1">
        <v>6</v>
      </c>
      <c r="F76" s="1" t="s">
        <v>142</v>
      </c>
      <c r="G76" s="1" t="s">
        <v>109</v>
      </c>
      <c r="H76" s="1">
        <v>14.5</v>
      </c>
      <c r="I76" s="1">
        <f t="shared" si="8"/>
        <v>1.4979338842975207E-3</v>
      </c>
      <c r="J76" s="2">
        <v>762.8</v>
      </c>
      <c r="K76" s="3">
        <f t="shared" si="9"/>
        <v>1.6801762114537444</v>
      </c>
      <c r="L76" s="5">
        <f t="shared" si="10"/>
        <v>1121.6624639222239</v>
      </c>
      <c r="M76" s="5">
        <f t="shared" si="11"/>
        <v>18.694374398703733</v>
      </c>
      <c r="N76" t="s">
        <v>516</v>
      </c>
      <c r="O76">
        <f t="shared" si="12"/>
        <v>762.8</v>
      </c>
      <c r="P76">
        <f t="shared" si="13"/>
        <v>125.72153726872247</v>
      </c>
    </row>
    <row r="77" spans="1:16" ht="15.75" thickBot="1" x14ac:dyDescent="0.3">
      <c r="A77" t="str">
        <f t="shared" si="7"/>
        <v>GOOD</v>
      </c>
      <c r="B77" s="1">
        <v>1076</v>
      </c>
      <c r="C77" s="1">
        <v>107625</v>
      </c>
      <c r="D77" s="1">
        <v>2</v>
      </c>
      <c r="E77" s="1">
        <v>5</v>
      </c>
      <c r="F77" s="1" t="s">
        <v>143</v>
      </c>
      <c r="G77" s="1" t="s">
        <v>144</v>
      </c>
      <c r="H77" s="1">
        <v>14.5</v>
      </c>
      <c r="I77" s="1">
        <f t="shared" si="8"/>
        <v>1.4979338842975207E-3</v>
      </c>
      <c r="J77" s="2">
        <v>735.2</v>
      </c>
      <c r="K77" s="3">
        <f t="shared" si="9"/>
        <v>1.6193832599118945</v>
      </c>
      <c r="L77" s="5">
        <f t="shared" si="10"/>
        <v>1081.0779279963542</v>
      </c>
      <c r="M77" s="5">
        <f t="shared" si="11"/>
        <v>18.017965466605904</v>
      </c>
      <c r="N77" t="s">
        <v>517</v>
      </c>
      <c r="O77">
        <f t="shared" si="12"/>
        <v>735.2</v>
      </c>
      <c r="P77">
        <f t="shared" si="13"/>
        <v>121.17261955947137</v>
      </c>
    </row>
    <row r="78" spans="1:16" ht="15.75" thickBot="1" x14ac:dyDescent="0.3">
      <c r="A78" t="str">
        <f t="shared" si="7"/>
        <v>GOOD</v>
      </c>
      <c r="B78" s="1">
        <v>1077</v>
      </c>
      <c r="C78" s="1">
        <v>107724</v>
      </c>
      <c r="D78" s="1">
        <v>2</v>
      </c>
      <c r="E78" s="1">
        <v>4</v>
      </c>
      <c r="F78" s="1" t="s">
        <v>145</v>
      </c>
      <c r="G78" s="1" t="s">
        <v>146</v>
      </c>
      <c r="H78" s="1">
        <v>14.5</v>
      </c>
      <c r="I78" s="1">
        <f t="shared" si="8"/>
        <v>1.4979338842975207E-3</v>
      </c>
      <c r="J78" s="2">
        <v>584.5</v>
      </c>
      <c r="K78" s="3">
        <f t="shared" si="9"/>
        <v>1.2874449339207048</v>
      </c>
      <c r="L78" s="5">
        <f t="shared" si="10"/>
        <v>859.48048002430494</v>
      </c>
      <c r="M78" s="5">
        <f t="shared" si="11"/>
        <v>14.324674667071749</v>
      </c>
      <c r="N78" t="s">
        <v>518</v>
      </c>
      <c r="O78">
        <f t="shared" si="12"/>
        <v>584.5</v>
      </c>
      <c r="P78">
        <f t="shared" si="13"/>
        <v>96.334869603524226</v>
      </c>
    </row>
    <row r="79" spans="1:16" ht="15.75" thickBot="1" x14ac:dyDescent="0.3">
      <c r="A79" t="str">
        <f t="shared" si="7"/>
        <v>GOOD</v>
      </c>
      <c r="B79" s="1">
        <v>1078</v>
      </c>
      <c r="C79" s="1">
        <v>107823</v>
      </c>
      <c r="D79" s="1">
        <v>2</v>
      </c>
      <c r="E79" s="1">
        <v>3</v>
      </c>
      <c r="F79" s="1" t="s">
        <v>147</v>
      </c>
      <c r="G79" s="1" t="s">
        <v>148</v>
      </c>
      <c r="H79" s="1">
        <v>14.5</v>
      </c>
      <c r="I79" s="1">
        <f t="shared" si="8"/>
        <v>1.4979338842975207E-3</v>
      </c>
      <c r="J79" s="2">
        <v>562.4</v>
      </c>
      <c r="K79" s="3">
        <f t="shared" si="9"/>
        <v>1.2387665198237885</v>
      </c>
      <c r="L79" s="5">
        <f t="shared" si="10"/>
        <v>826.98344219960495</v>
      </c>
      <c r="M79" s="5">
        <f t="shared" si="11"/>
        <v>13.783057369993417</v>
      </c>
      <c r="N79" t="s">
        <v>519</v>
      </c>
      <c r="O79">
        <f t="shared" si="12"/>
        <v>562.4</v>
      </c>
      <c r="P79">
        <f t="shared" si="13"/>
        <v>92.69243911894273</v>
      </c>
    </row>
    <row r="80" spans="1:16" ht="15.75" thickBot="1" x14ac:dyDescent="0.3">
      <c r="A80" t="str">
        <f t="shared" si="7"/>
        <v>GOOD</v>
      </c>
      <c r="B80" s="1">
        <v>1079</v>
      </c>
      <c r="C80" s="1">
        <v>107922</v>
      </c>
      <c r="D80" s="1">
        <v>2</v>
      </c>
      <c r="E80" s="1">
        <v>2</v>
      </c>
      <c r="F80" s="1" t="s">
        <v>149</v>
      </c>
      <c r="G80" s="1" t="s">
        <v>30</v>
      </c>
      <c r="H80" s="1">
        <v>14.5</v>
      </c>
      <c r="I80" s="1">
        <f t="shared" si="8"/>
        <v>1.4979338842975207E-3</v>
      </c>
      <c r="J80" s="2">
        <v>466.1</v>
      </c>
      <c r="K80" s="3">
        <f t="shared" si="9"/>
        <v>1.0266519823788547</v>
      </c>
      <c r="L80" s="5">
        <f t="shared" si="10"/>
        <v>685.37870271912504</v>
      </c>
      <c r="M80" s="5">
        <f t="shared" si="11"/>
        <v>11.422978378652084</v>
      </c>
      <c r="N80" t="s">
        <v>520</v>
      </c>
      <c r="O80">
        <f t="shared" si="12"/>
        <v>466.1</v>
      </c>
      <c r="P80">
        <f t="shared" si="13"/>
        <v>76.820671894273133</v>
      </c>
    </row>
    <row r="81" spans="1:16" ht="15.75" thickBot="1" x14ac:dyDescent="0.3">
      <c r="A81" t="str">
        <f t="shared" si="7"/>
        <v>GOOD</v>
      </c>
      <c r="B81" s="1">
        <v>1080</v>
      </c>
      <c r="C81" s="1">
        <v>108021</v>
      </c>
      <c r="D81" s="1">
        <v>2</v>
      </c>
      <c r="E81" s="1">
        <v>1</v>
      </c>
      <c r="F81" s="1" t="s">
        <v>150</v>
      </c>
      <c r="G81" s="1" t="s">
        <v>151</v>
      </c>
      <c r="H81" s="1">
        <v>14.5</v>
      </c>
      <c r="I81" s="1">
        <f t="shared" si="8"/>
        <v>1.4979338842975207E-3</v>
      </c>
      <c r="J81" s="2">
        <v>509</v>
      </c>
      <c r="K81" s="3">
        <f t="shared" si="9"/>
        <v>1.1211453744493391</v>
      </c>
      <c r="L81" s="5">
        <f t="shared" si="10"/>
        <v>748.46118790824846</v>
      </c>
      <c r="M81" s="5">
        <f t="shared" si="11"/>
        <v>12.474353131804142</v>
      </c>
      <c r="N81" t="s">
        <v>521</v>
      </c>
      <c r="O81">
        <f t="shared" si="12"/>
        <v>509</v>
      </c>
      <c r="P81">
        <f t="shared" si="13"/>
        <v>83.891272246696033</v>
      </c>
    </row>
    <row r="82" spans="1:16" ht="15.75" thickBot="1" x14ac:dyDescent="0.3">
      <c r="A82" t="str">
        <f t="shared" si="7"/>
        <v>GOOD</v>
      </c>
      <c r="B82" s="1">
        <v>1081</v>
      </c>
      <c r="C82" s="1">
        <v>108131</v>
      </c>
      <c r="D82" s="1">
        <v>3</v>
      </c>
      <c r="E82" s="1">
        <v>1</v>
      </c>
      <c r="F82" s="1" t="s">
        <v>152</v>
      </c>
      <c r="G82" s="1" t="s">
        <v>153</v>
      </c>
      <c r="H82" s="1">
        <v>15</v>
      </c>
      <c r="I82" s="1">
        <f t="shared" si="8"/>
        <v>1.5495867768595042E-3</v>
      </c>
      <c r="J82" s="2">
        <v>453.3</v>
      </c>
      <c r="K82" s="3">
        <f t="shared" si="9"/>
        <v>0.99845814977973568</v>
      </c>
      <c r="L82" s="5">
        <f t="shared" si="10"/>
        <v>644.33832599118944</v>
      </c>
      <c r="M82" s="5">
        <f t="shared" si="11"/>
        <v>10.738972099853157</v>
      </c>
      <c r="N82" t="s">
        <v>522</v>
      </c>
      <c r="O82">
        <f t="shared" si="12"/>
        <v>453.3</v>
      </c>
      <c r="P82">
        <f t="shared" si="13"/>
        <v>72.220661268722466</v>
      </c>
    </row>
    <row r="83" spans="1:16" ht="15.75" thickBot="1" x14ac:dyDescent="0.3">
      <c r="A83" t="str">
        <f t="shared" si="7"/>
        <v>GOOD</v>
      </c>
      <c r="B83" s="1">
        <v>1082</v>
      </c>
      <c r="C83" s="1">
        <v>108232</v>
      </c>
      <c r="D83" s="1">
        <v>3</v>
      </c>
      <c r="E83" s="1">
        <v>2</v>
      </c>
      <c r="F83" s="1" t="s">
        <v>154</v>
      </c>
      <c r="G83" s="1" t="s">
        <v>155</v>
      </c>
      <c r="H83" s="1">
        <v>15</v>
      </c>
      <c r="I83" s="1">
        <f t="shared" si="8"/>
        <v>1.5495867768595042E-3</v>
      </c>
      <c r="J83" s="2">
        <v>470.4</v>
      </c>
      <c r="K83" s="3">
        <f t="shared" si="9"/>
        <v>1.0361233480176211</v>
      </c>
      <c r="L83" s="5">
        <f t="shared" si="10"/>
        <v>668.64493392070483</v>
      </c>
      <c r="M83" s="5">
        <f t="shared" si="11"/>
        <v>11.144082232011748</v>
      </c>
      <c r="N83" t="s">
        <v>523</v>
      </c>
      <c r="O83">
        <f t="shared" si="12"/>
        <v>470.4</v>
      </c>
      <c r="P83">
        <f t="shared" si="13"/>
        <v>74.945067418502205</v>
      </c>
    </row>
    <row r="84" spans="1:16" ht="15.75" thickBot="1" x14ac:dyDescent="0.3">
      <c r="A84" t="str">
        <f t="shared" si="7"/>
        <v>GOOD</v>
      </c>
      <c r="B84" s="1">
        <v>1083</v>
      </c>
      <c r="C84" s="1">
        <v>108333</v>
      </c>
      <c r="D84" s="1">
        <v>3</v>
      </c>
      <c r="E84" s="1">
        <v>3</v>
      </c>
      <c r="F84" s="1" t="s">
        <v>156</v>
      </c>
      <c r="G84" s="1" t="s">
        <v>155</v>
      </c>
      <c r="H84" s="1">
        <v>15</v>
      </c>
      <c r="I84" s="1">
        <f t="shared" si="8"/>
        <v>1.5495867768595042E-3</v>
      </c>
      <c r="J84" s="2">
        <v>626.9</v>
      </c>
      <c r="K84" s="3">
        <f t="shared" si="9"/>
        <v>1.3808370044052862</v>
      </c>
      <c r="L84" s="5">
        <f t="shared" si="10"/>
        <v>891.10014684287808</v>
      </c>
      <c r="M84" s="5">
        <f t="shared" si="11"/>
        <v>14.851669114047969</v>
      </c>
      <c r="N84" t="s">
        <v>524</v>
      </c>
      <c r="O84">
        <f t="shared" si="12"/>
        <v>626.9</v>
      </c>
      <c r="P84">
        <f t="shared" si="13"/>
        <v>99.878959958883996</v>
      </c>
    </row>
    <row r="85" spans="1:16" ht="15.75" thickBot="1" x14ac:dyDescent="0.3">
      <c r="A85" t="str">
        <f t="shared" si="7"/>
        <v>GOOD</v>
      </c>
      <c r="B85" s="1">
        <v>1084</v>
      </c>
      <c r="C85" s="1">
        <v>108434</v>
      </c>
      <c r="D85" s="1">
        <v>3</v>
      </c>
      <c r="E85" s="1">
        <v>4</v>
      </c>
      <c r="F85" s="1" t="s">
        <v>157</v>
      </c>
      <c r="G85" s="1" t="s">
        <v>158</v>
      </c>
      <c r="H85" s="1">
        <v>15</v>
      </c>
      <c r="I85" s="1">
        <f t="shared" si="8"/>
        <v>1.5495867768595042E-3</v>
      </c>
      <c r="J85" s="2">
        <v>504.1</v>
      </c>
      <c r="K85" s="3">
        <f t="shared" si="9"/>
        <v>1.110352422907489</v>
      </c>
      <c r="L85" s="5">
        <f t="shared" si="10"/>
        <v>716.54743024963295</v>
      </c>
      <c r="M85" s="5">
        <f t="shared" si="11"/>
        <v>11.942457170827216</v>
      </c>
      <c r="N85" t="s">
        <v>525</v>
      </c>
      <c r="O85">
        <f t="shared" si="12"/>
        <v>504.1</v>
      </c>
      <c r="P85">
        <f t="shared" si="13"/>
        <v>80.314218719530118</v>
      </c>
    </row>
    <row r="86" spans="1:16" ht="15.75" thickBot="1" x14ac:dyDescent="0.3">
      <c r="A86" t="str">
        <f t="shared" si="7"/>
        <v>GOOD</v>
      </c>
      <c r="B86" s="1">
        <v>1085</v>
      </c>
      <c r="C86" s="1">
        <v>108535</v>
      </c>
      <c r="D86" s="1">
        <v>3</v>
      </c>
      <c r="E86" s="1">
        <v>5</v>
      </c>
      <c r="F86" s="1" t="s">
        <v>159</v>
      </c>
      <c r="G86" s="1" t="s">
        <v>28</v>
      </c>
      <c r="H86" s="1">
        <v>15</v>
      </c>
      <c r="I86" s="1">
        <f t="shared" si="8"/>
        <v>1.5495867768595042E-3</v>
      </c>
      <c r="J86" s="2">
        <v>560.29999999999995</v>
      </c>
      <c r="K86" s="3">
        <f t="shared" si="9"/>
        <v>1.2341409691629954</v>
      </c>
      <c r="L86" s="5">
        <f t="shared" si="10"/>
        <v>796.43230543318634</v>
      </c>
      <c r="M86" s="5">
        <f t="shared" si="11"/>
        <v>13.273871757219773</v>
      </c>
      <c r="N86" t="s">
        <v>526</v>
      </c>
      <c r="O86">
        <f t="shared" si="12"/>
        <v>560.29999999999995</v>
      </c>
      <c r="P86">
        <f t="shared" si="13"/>
        <v>89.26811495447869</v>
      </c>
    </row>
    <row r="87" spans="1:16" ht="15.75" thickBot="1" x14ac:dyDescent="0.3">
      <c r="A87" t="str">
        <f t="shared" si="7"/>
        <v>GOOD</v>
      </c>
      <c r="B87" s="1">
        <v>1086</v>
      </c>
      <c r="C87" s="1">
        <v>108636</v>
      </c>
      <c r="D87" s="1">
        <v>3</v>
      </c>
      <c r="E87" s="1">
        <v>6</v>
      </c>
      <c r="F87" s="1" t="s">
        <v>160</v>
      </c>
      <c r="G87" s="1" t="s">
        <v>141</v>
      </c>
      <c r="H87" s="1">
        <v>15</v>
      </c>
      <c r="I87" s="1">
        <f t="shared" si="8"/>
        <v>1.5495867768595042E-3</v>
      </c>
      <c r="J87" s="2">
        <v>799.2</v>
      </c>
      <c r="K87" s="3">
        <f t="shared" si="9"/>
        <v>1.7603524229074892</v>
      </c>
      <c r="L87" s="5">
        <f t="shared" si="10"/>
        <v>1136.0140969162996</v>
      </c>
      <c r="M87" s="5">
        <f t="shared" si="11"/>
        <v>18.933568281938328</v>
      </c>
      <c r="N87" t="s">
        <v>527</v>
      </c>
      <c r="O87">
        <f t="shared" si="12"/>
        <v>799.2</v>
      </c>
      <c r="P87">
        <f t="shared" si="13"/>
        <v>127.33014005286346</v>
      </c>
    </row>
    <row r="88" spans="1:16" ht="15.75" thickBot="1" x14ac:dyDescent="0.3">
      <c r="A88" t="str">
        <f t="shared" si="7"/>
        <v>GOOD</v>
      </c>
      <c r="B88" s="1">
        <v>1087</v>
      </c>
      <c r="C88" s="1">
        <v>108737</v>
      </c>
      <c r="D88" s="1">
        <v>3</v>
      </c>
      <c r="E88" s="1">
        <v>7</v>
      </c>
      <c r="F88" s="1" t="s">
        <v>29</v>
      </c>
      <c r="G88" s="1" t="s">
        <v>161</v>
      </c>
      <c r="H88" s="1">
        <v>15</v>
      </c>
      <c r="I88" s="1">
        <f t="shared" si="8"/>
        <v>1.5495867768595042E-3</v>
      </c>
      <c r="J88" s="2">
        <v>731.8</v>
      </c>
      <c r="K88" s="3">
        <f t="shared" si="9"/>
        <v>1.6118942731277532</v>
      </c>
      <c r="L88" s="5">
        <f t="shared" si="10"/>
        <v>1040.2091042584434</v>
      </c>
      <c r="M88" s="5">
        <f t="shared" si="11"/>
        <v>17.33681840430739</v>
      </c>
      <c r="N88" t="s">
        <v>528</v>
      </c>
      <c r="O88">
        <f t="shared" si="12"/>
        <v>731.8</v>
      </c>
      <c r="P88">
        <f t="shared" si="13"/>
        <v>116.59183745080763</v>
      </c>
    </row>
    <row r="89" spans="1:16" ht="15.75" thickBot="1" x14ac:dyDescent="0.3">
      <c r="A89" t="str">
        <f t="shared" si="7"/>
        <v>GOOD</v>
      </c>
      <c r="B89" s="1">
        <v>1088</v>
      </c>
      <c r="C89" s="1">
        <v>108838</v>
      </c>
      <c r="D89" s="1">
        <v>3</v>
      </c>
      <c r="E89" s="1">
        <v>8</v>
      </c>
      <c r="F89" s="1" t="s">
        <v>162</v>
      </c>
      <c r="G89" s="1" t="s">
        <v>163</v>
      </c>
      <c r="H89" s="1">
        <v>15</v>
      </c>
      <c r="I89" s="1">
        <f t="shared" si="8"/>
        <v>1.5495867768595042E-3</v>
      </c>
      <c r="J89" s="2">
        <v>808.4</v>
      </c>
      <c r="K89" s="3">
        <f t="shared" si="9"/>
        <v>1.7806167400881057</v>
      </c>
      <c r="L89" s="5">
        <f t="shared" si="10"/>
        <v>1149.0913362701908</v>
      </c>
      <c r="M89" s="5">
        <f t="shared" si="11"/>
        <v>19.151522271169846</v>
      </c>
      <c r="N89" t="s">
        <v>529</v>
      </c>
      <c r="O89">
        <f t="shared" si="12"/>
        <v>808.4</v>
      </c>
      <c r="P89">
        <f t="shared" si="13"/>
        <v>128.79590242584433</v>
      </c>
    </row>
    <row r="90" spans="1:16" ht="15.75" thickBot="1" x14ac:dyDescent="0.3">
      <c r="A90" t="str">
        <f t="shared" si="7"/>
        <v>GOOD</v>
      </c>
      <c r="B90" s="1">
        <v>1089</v>
      </c>
      <c r="C90" s="1">
        <v>108939</v>
      </c>
      <c r="D90" s="1">
        <v>3</v>
      </c>
      <c r="E90" s="1">
        <v>9</v>
      </c>
      <c r="F90" s="1" t="s">
        <v>110</v>
      </c>
      <c r="G90" s="1" t="s">
        <v>164</v>
      </c>
      <c r="H90" s="1">
        <v>15</v>
      </c>
      <c r="I90" s="1">
        <f t="shared" si="8"/>
        <v>1.5495867768595042E-3</v>
      </c>
      <c r="J90" s="2">
        <v>670.2</v>
      </c>
      <c r="K90" s="3">
        <f t="shared" si="9"/>
        <v>1.4762114537444935</v>
      </c>
      <c r="L90" s="5">
        <f t="shared" si="10"/>
        <v>952.6484581497798</v>
      </c>
      <c r="M90" s="5">
        <f t="shared" si="11"/>
        <v>15.87747430249633</v>
      </c>
      <c r="N90" t="s">
        <v>530</v>
      </c>
      <c r="O90">
        <f t="shared" si="12"/>
        <v>670.2</v>
      </c>
      <c r="P90">
        <f t="shared" si="13"/>
        <v>106.77760243171807</v>
      </c>
    </row>
    <row r="91" spans="1:16" ht="15.75" thickBot="1" x14ac:dyDescent="0.3">
      <c r="A91" t="str">
        <f t="shared" si="7"/>
        <v>GOOD</v>
      </c>
      <c r="B91" s="1">
        <v>1090</v>
      </c>
      <c r="C91" s="1">
        <v>1090310</v>
      </c>
      <c r="D91" s="1">
        <v>3</v>
      </c>
      <c r="E91" s="1">
        <v>10</v>
      </c>
      <c r="F91" s="1" t="s">
        <v>102</v>
      </c>
      <c r="G91" s="1" t="s">
        <v>165</v>
      </c>
      <c r="H91" s="1">
        <v>15</v>
      </c>
      <c r="I91" s="1">
        <f t="shared" si="8"/>
        <v>1.5495867768595042E-3</v>
      </c>
      <c r="J91" s="2">
        <v>741</v>
      </c>
      <c r="K91" s="3">
        <f t="shared" si="9"/>
        <v>1.63215859030837</v>
      </c>
      <c r="L91" s="5">
        <f t="shared" si="10"/>
        <v>1053.2863436123348</v>
      </c>
      <c r="M91" s="5">
        <f t="shared" si="11"/>
        <v>17.554772393538915</v>
      </c>
      <c r="N91" t="s">
        <v>531</v>
      </c>
      <c r="O91">
        <f t="shared" si="12"/>
        <v>741</v>
      </c>
      <c r="P91">
        <f t="shared" si="13"/>
        <v>118.05759982378855</v>
      </c>
    </row>
    <row r="92" spans="1:16" ht="15.75" thickBot="1" x14ac:dyDescent="0.3">
      <c r="A92" t="str">
        <f t="shared" si="7"/>
        <v>GOOD</v>
      </c>
      <c r="B92" s="1">
        <v>1091</v>
      </c>
      <c r="C92" s="1">
        <v>1091311</v>
      </c>
      <c r="D92" s="1">
        <v>3</v>
      </c>
      <c r="E92" s="1">
        <v>11</v>
      </c>
      <c r="F92" s="1" t="s">
        <v>166</v>
      </c>
      <c r="G92" s="1" t="s">
        <v>167</v>
      </c>
      <c r="H92" s="1">
        <v>15</v>
      </c>
      <c r="I92" s="1">
        <f t="shared" si="8"/>
        <v>1.5495867768595042E-3</v>
      </c>
      <c r="J92" s="2">
        <v>953.2</v>
      </c>
      <c r="K92" s="3">
        <f t="shared" si="9"/>
        <v>2.0995594713656387</v>
      </c>
      <c r="L92" s="5">
        <f t="shared" si="10"/>
        <v>1354.9157121879589</v>
      </c>
      <c r="M92" s="5">
        <f t="shared" si="11"/>
        <v>22.581928536465981</v>
      </c>
      <c r="N92" t="s">
        <v>532</v>
      </c>
      <c r="O92">
        <f t="shared" si="12"/>
        <v>953.2</v>
      </c>
      <c r="P92">
        <f t="shared" si="13"/>
        <v>151.86572760058738</v>
      </c>
    </row>
    <row r="93" spans="1:16" ht="15.75" thickBot="1" x14ac:dyDescent="0.3">
      <c r="A93" t="str">
        <f t="shared" si="7"/>
        <v>GOOD</v>
      </c>
      <c r="B93" s="1">
        <v>1092</v>
      </c>
      <c r="C93" s="1">
        <v>1092312</v>
      </c>
      <c r="D93" s="1">
        <v>3</v>
      </c>
      <c r="E93" s="1">
        <v>12</v>
      </c>
      <c r="F93" s="1" t="s">
        <v>168</v>
      </c>
      <c r="G93" s="1" t="s">
        <v>169</v>
      </c>
      <c r="H93" s="1">
        <v>15</v>
      </c>
      <c r="I93" s="1">
        <f t="shared" si="8"/>
        <v>1.5495867768595042E-3</v>
      </c>
      <c r="J93" s="2">
        <v>836.9</v>
      </c>
      <c r="K93" s="3">
        <f t="shared" si="9"/>
        <v>1.8433920704845814</v>
      </c>
      <c r="L93" s="5">
        <f t="shared" si="10"/>
        <v>1189.6023494860499</v>
      </c>
      <c r="M93" s="5">
        <f t="shared" si="11"/>
        <v>19.826705824767497</v>
      </c>
      <c r="N93" t="s">
        <v>533</v>
      </c>
      <c r="O93">
        <f t="shared" si="12"/>
        <v>836.9</v>
      </c>
      <c r="P93">
        <f t="shared" si="13"/>
        <v>133.33657934214392</v>
      </c>
    </row>
    <row r="94" spans="1:16" ht="15.75" thickBot="1" x14ac:dyDescent="0.3">
      <c r="A94" t="str">
        <f t="shared" si="7"/>
        <v>GOOD</v>
      </c>
      <c r="B94" s="1">
        <v>1093</v>
      </c>
      <c r="C94" s="1">
        <v>1093313</v>
      </c>
      <c r="D94" s="1">
        <v>3</v>
      </c>
      <c r="E94" s="1">
        <v>13</v>
      </c>
      <c r="F94" s="1" t="s">
        <v>170</v>
      </c>
      <c r="G94" s="1" t="s">
        <v>77</v>
      </c>
      <c r="H94" s="1">
        <v>15</v>
      </c>
      <c r="I94" s="1">
        <f t="shared" si="8"/>
        <v>1.5495867768595042E-3</v>
      </c>
      <c r="J94" s="2">
        <v>908.8</v>
      </c>
      <c r="K94" s="3">
        <f t="shared" si="9"/>
        <v>2.0017621145374447</v>
      </c>
      <c r="L94" s="5">
        <f t="shared" si="10"/>
        <v>1291.8038179148309</v>
      </c>
      <c r="M94" s="5">
        <f t="shared" si="11"/>
        <v>21.530063631913848</v>
      </c>
      <c r="N94" t="s">
        <v>534</v>
      </c>
      <c r="O94">
        <f t="shared" si="12"/>
        <v>908.8</v>
      </c>
      <c r="P94">
        <f t="shared" si="13"/>
        <v>144.79183093098382</v>
      </c>
    </row>
    <row r="95" spans="1:16" ht="15.75" thickBot="1" x14ac:dyDescent="0.3">
      <c r="A95" t="str">
        <f t="shared" si="7"/>
        <v>GOOD</v>
      </c>
      <c r="B95" s="1">
        <v>1094</v>
      </c>
      <c r="C95" s="1">
        <v>1094314</v>
      </c>
      <c r="D95" s="1">
        <v>3</v>
      </c>
      <c r="E95" s="1">
        <v>14</v>
      </c>
      <c r="F95" s="1" t="s">
        <v>61</v>
      </c>
      <c r="G95" s="1" t="s">
        <v>171</v>
      </c>
      <c r="H95" s="1">
        <v>15</v>
      </c>
      <c r="I95" s="1">
        <f t="shared" si="8"/>
        <v>1.5495867768595042E-3</v>
      </c>
      <c r="J95" s="2">
        <v>898.8</v>
      </c>
      <c r="K95" s="3">
        <f t="shared" si="9"/>
        <v>1.9797356828193831</v>
      </c>
      <c r="L95" s="5">
        <f t="shared" si="10"/>
        <v>1277.5894273127751</v>
      </c>
      <c r="M95" s="5">
        <f t="shared" si="11"/>
        <v>21.293157121879585</v>
      </c>
      <c r="N95" t="s">
        <v>535</v>
      </c>
      <c r="O95">
        <f t="shared" si="12"/>
        <v>898.8</v>
      </c>
      <c r="P95">
        <f t="shared" si="13"/>
        <v>143.1986109603524</v>
      </c>
    </row>
    <row r="96" spans="1:16" ht="15.75" thickBot="1" x14ac:dyDescent="0.3">
      <c r="A96" t="str">
        <f t="shared" si="7"/>
        <v>GOOD</v>
      </c>
      <c r="B96" s="1">
        <v>1095</v>
      </c>
      <c r="C96" s="1">
        <v>1095315</v>
      </c>
      <c r="D96" s="1">
        <v>3</v>
      </c>
      <c r="E96" s="1">
        <v>15</v>
      </c>
      <c r="F96" s="1" t="s">
        <v>172</v>
      </c>
      <c r="G96" s="1" t="s">
        <v>173</v>
      </c>
      <c r="H96" s="1">
        <v>15</v>
      </c>
      <c r="I96" s="1">
        <f t="shared" si="8"/>
        <v>1.5495867768595042E-3</v>
      </c>
      <c r="J96" s="2">
        <v>919.3</v>
      </c>
      <c r="K96" s="3">
        <f t="shared" si="9"/>
        <v>2.0248898678414098</v>
      </c>
      <c r="L96" s="5">
        <f t="shared" si="10"/>
        <v>1306.7289280469897</v>
      </c>
      <c r="M96" s="5">
        <f t="shared" si="11"/>
        <v>21.778815467449828</v>
      </c>
      <c r="N96" t="s">
        <v>536</v>
      </c>
      <c r="O96">
        <f t="shared" si="12"/>
        <v>919.3</v>
      </c>
      <c r="P96">
        <f t="shared" si="13"/>
        <v>146.46471190014685</v>
      </c>
    </row>
    <row r="97" spans="1:16" ht="15.75" thickBot="1" x14ac:dyDescent="0.3">
      <c r="A97" t="str">
        <f t="shared" si="7"/>
        <v>GOOD</v>
      </c>
      <c r="B97" s="1">
        <v>1096</v>
      </c>
      <c r="C97" s="1">
        <v>1096316</v>
      </c>
      <c r="D97" s="1">
        <v>3</v>
      </c>
      <c r="E97" s="1">
        <v>16</v>
      </c>
      <c r="F97" s="1" t="s">
        <v>174</v>
      </c>
      <c r="G97" s="1" t="s">
        <v>124</v>
      </c>
      <c r="H97" s="1">
        <v>15</v>
      </c>
      <c r="I97" s="1">
        <f t="shared" si="8"/>
        <v>1.5495867768595042E-3</v>
      </c>
      <c r="J97" s="2">
        <v>1015.3</v>
      </c>
      <c r="K97" s="3">
        <f t="shared" si="9"/>
        <v>2.2363436123348017</v>
      </c>
      <c r="L97" s="5">
        <f t="shared" si="10"/>
        <v>1443.1870778267253</v>
      </c>
      <c r="M97" s="5">
        <f t="shared" si="11"/>
        <v>24.053117963778753</v>
      </c>
      <c r="N97" t="s">
        <v>537</v>
      </c>
      <c r="O97">
        <f t="shared" si="12"/>
        <v>1015.3</v>
      </c>
      <c r="P97">
        <f t="shared" si="13"/>
        <v>161.75962361820851</v>
      </c>
    </row>
    <row r="98" spans="1:16" ht="15.75" thickBot="1" x14ac:dyDescent="0.3">
      <c r="A98" t="str">
        <f t="shared" si="7"/>
        <v>GOOD</v>
      </c>
      <c r="B98" s="1">
        <v>1097</v>
      </c>
      <c r="C98" s="1">
        <v>1097317</v>
      </c>
      <c r="D98" s="1">
        <v>3</v>
      </c>
      <c r="E98" s="1">
        <v>17</v>
      </c>
      <c r="F98" s="1" t="s">
        <v>175</v>
      </c>
      <c r="G98" s="1" t="s">
        <v>176</v>
      </c>
      <c r="H98" s="1">
        <v>15</v>
      </c>
      <c r="I98" s="1">
        <f t="shared" si="8"/>
        <v>1.5495867768595042E-3</v>
      </c>
      <c r="J98" s="2">
        <v>775.3</v>
      </c>
      <c r="K98" s="3">
        <f t="shared" si="9"/>
        <v>1.7077092511013214</v>
      </c>
      <c r="L98" s="5">
        <f t="shared" si="10"/>
        <v>1102.0417033773861</v>
      </c>
      <c r="M98" s="5">
        <f t="shared" si="11"/>
        <v>18.367361722956435</v>
      </c>
      <c r="N98" t="s">
        <v>538</v>
      </c>
      <c r="O98">
        <f t="shared" si="12"/>
        <v>775.3</v>
      </c>
      <c r="P98">
        <f t="shared" si="13"/>
        <v>123.52234432305433</v>
      </c>
    </row>
    <row r="99" spans="1:16" ht="15.75" thickBot="1" x14ac:dyDescent="0.3">
      <c r="A99" t="str">
        <f t="shared" si="7"/>
        <v>GOOD</v>
      </c>
      <c r="B99" s="1">
        <v>1098</v>
      </c>
      <c r="C99" s="1">
        <v>1098318</v>
      </c>
      <c r="D99" s="1">
        <v>3</v>
      </c>
      <c r="E99" s="1">
        <v>18</v>
      </c>
      <c r="F99" s="1" t="s">
        <v>177</v>
      </c>
      <c r="G99" s="1" t="s">
        <v>178</v>
      </c>
      <c r="H99" s="1">
        <v>15</v>
      </c>
      <c r="I99" s="1">
        <f t="shared" si="8"/>
        <v>1.5495867768595042E-3</v>
      </c>
      <c r="J99" s="2">
        <v>1015.3</v>
      </c>
      <c r="K99" s="3">
        <f t="shared" si="9"/>
        <v>2.2363436123348017</v>
      </c>
      <c r="L99" s="5">
        <f t="shared" si="10"/>
        <v>1443.1870778267253</v>
      </c>
      <c r="M99" s="5">
        <f t="shared" si="11"/>
        <v>24.053117963778753</v>
      </c>
      <c r="N99" t="s">
        <v>539</v>
      </c>
      <c r="O99">
        <f t="shared" si="12"/>
        <v>1015.3</v>
      </c>
      <c r="P99">
        <f t="shared" si="13"/>
        <v>161.75962361820851</v>
      </c>
    </row>
    <row r="100" spans="1:16" ht="15.75" thickBot="1" x14ac:dyDescent="0.3">
      <c r="A100" t="str">
        <f t="shared" si="7"/>
        <v>GOOD</v>
      </c>
      <c r="B100" s="1">
        <v>1099</v>
      </c>
      <c r="C100" s="1">
        <v>1099319</v>
      </c>
      <c r="D100" s="1">
        <v>3</v>
      </c>
      <c r="E100" s="1">
        <v>19</v>
      </c>
      <c r="F100" s="1" t="s">
        <v>179</v>
      </c>
      <c r="G100" s="1" t="s">
        <v>180</v>
      </c>
      <c r="H100" s="1">
        <v>15</v>
      </c>
      <c r="I100" s="1">
        <f t="shared" si="8"/>
        <v>1.5495867768595042E-3</v>
      </c>
      <c r="J100" s="2">
        <v>832.5</v>
      </c>
      <c r="K100" s="3">
        <f t="shared" si="9"/>
        <v>1.8337004405286343</v>
      </c>
      <c r="L100" s="5">
        <f t="shared" si="10"/>
        <v>1183.3480176211453</v>
      </c>
      <c r="M100" s="5">
        <f t="shared" si="11"/>
        <v>19.722466960352424</v>
      </c>
      <c r="N100" t="s">
        <v>540</v>
      </c>
      <c r="O100">
        <f t="shared" si="12"/>
        <v>832.5</v>
      </c>
      <c r="P100">
        <f t="shared" si="13"/>
        <v>132.63556255506609</v>
      </c>
    </row>
    <row r="101" spans="1:16" ht="15.75" thickBot="1" x14ac:dyDescent="0.3">
      <c r="A101" t="str">
        <f t="shared" si="7"/>
        <v>GOOD</v>
      </c>
      <c r="B101" s="1">
        <v>1100</v>
      </c>
      <c r="C101" s="1">
        <v>1100320</v>
      </c>
      <c r="D101" s="1">
        <v>3</v>
      </c>
      <c r="E101" s="1">
        <v>20</v>
      </c>
      <c r="F101" s="1" t="s">
        <v>181</v>
      </c>
      <c r="G101" s="1" t="s">
        <v>182</v>
      </c>
      <c r="H101" s="1">
        <v>15</v>
      </c>
      <c r="I101" s="1">
        <f t="shared" si="8"/>
        <v>1.5495867768595042E-3</v>
      </c>
      <c r="J101" s="2">
        <v>651.79999999999995</v>
      </c>
      <c r="K101" s="3">
        <f t="shared" si="9"/>
        <v>1.4356828193832598</v>
      </c>
      <c r="L101" s="5">
        <f t="shared" si="10"/>
        <v>926.493979441997</v>
      </c>
      <c r="M101" s="5">
        <f t="shared" si="11"/>
        <v>15.441566324033284</v>
      </c>
      <c r="N101" t="s">
        <v>541</v>
      </c>
      <c r="O101">
        <f t="shared" si="12"/>
        <v>651.79999999999995</v>
      </c>
      <c r="P101">
        <f t="shared" si="13"/>
        <v>103.84607768575624</v>
      </c>
    </row>
    <row r="102" spans="1:16" ht="15.75" thickBot="1" x14ac:dyDescent="0.3">
      <c r="A102" t="str">
        <f t="shared" si="7"/>
        <v>GOOD</v>
      </c>
      <c r="B102" s="1">
        <v>1101</v>
      </c>
      <c r="C102" s="1">
        <v>1101321</v>
      </c>
      <c r="D102" s="1">
        <v>3</v>
      </c>
      <c r="E102" s="1">
        <v>21</v>
      </c>
      <c r="F102" s="1" t="s">
        <v>162</v>
      </c>
      <c r="G102" s="1" t="s">
        <v>183</v>
      </c>
      <c r="H102" s="1">
        <v>15</v>
      </c>
      <c r="I102" s="1">
        <f t="shared" si="8"/>
        <v>1.5495867768595042E-3</v>
      </c>
      <c r="J102" s="2">
        <v>1029.9000000000001</v>
      </c>
      <c r="K102" s="3">
        <f t="shared" si="9"/>
        <v>2.2685022026431718</v>
      </c>
      <c r="L102" s="5">
        <f t="shared" si="10"/>
        <v>1463.9400881057268</v>
      </c>
      <c r="M102" s="5">
        <f t="shared" si="11"/>
        <v>24.399001468428779</v>
      </c>
      <c r="N102" t="s">
        <v>542</v>
      </c>
      <c r="O102">
        <f t="shared" si="12"/>
        <v>1029.9000000000001</v>
      </c>
      <c r="P102">
        <f t="shared" si="13"/>
        <v>164.08572477533039</v>
      </c>
    </row>
    <row r="103" spans="1:16" ht="15.75" thickBot="1" x14ac:dyDescent="0.3">
      <c r="A103" t="str">
        <f t="shared" si="7"/>
        <v>GOOD</v>
      </c>
      <c r="B103" s="1">
        <v>1102</v>
      </c>
      <c r="C103" s="1">
        <v>1102322</v>
      </c>
      <c r="D103" s="1">
        <v>3</v>
      </c>
      <c r="E103" s="1">
        <v>22</v>
      </c>
      <c r="F103" s="1" t="s">
        <v>184</v>
      </c>
      <c r="G103" s="1" t="s">
        <v>185</v>
      </c>
      <c r="H103" s="1">
        <v>15</v>
      </c>
      <c r="I103" s="1">
        <f t="shared" si="8"/>
        <v>1.5495867768595042E-3</v>
      </c>
      <c r="J103" s="2">
        <v>907.6</v>
      </c>
      <c r="K103" s="3">
        <f t="shared" si="9"/>
        <v>1.9991189427312777</v>
      </c>
      <c r="L103" s="5">
        <f t="shared" si="10"/>
        <v>1290.0980910425844</v>
      </c>
      <c r="M103" s="5">
        <f t="shared" si="11"/>
        <v>21.501634850709742</v>
      </c>
      <c r="N103" t="s">
        <v>543</v>
      </c>
      <c r="O103">
        <f t="shared" si="12"/>
        <v>907.6</v>
      </c>
      <c r="P103">
        <f t="shared" si="13"/>
        <v>144.60064453450809</v>
      </c>
    </row>
    <row r="104" spans="1:16" ht="15.75" thickBot="1" x14ac:dyDescent="0.3">
      <c r="A104" t="str">
        <f t="shared" si="7"/>
        <v>GOOD</v>
      </c>
      <c r="B104" s="1">
        <v>1103</v>
      </c>
      <c r="C104" s="1">
        <v>1103323</v>
      </c>
      <c r="D104" s="1">
        <v>3</v>
      </c>
      <c r="E104" s="1">
        <v>23</v>
      </c>
      <c r="F104" s="1" t="s">
        <v>186</v>
      </c>
      <c r="G104" s="1" t="s">
        <v>187</v>
      </c>
      <c r="H104" s="1">
        <v>15</v>
      </c>
      <c r="I104" s="1">
        <f t="shared" si="8"/>
        <v>1.5495867768595042E-3</v>
      </c>
      <c r="J104" s="2">
        <v>908.3</v>
      </c>
      <c r="K104" s="3">
        <f t="shared" si="9"/>
        <v>2.0006607929515416</v>
      </c>
      <c r="L104" s="5">
        <f t="shared" si="10"/>
        <v>1291.0930983847281</v>
      </c>
      <c r="M104" s="5">
        <f t="shared" si="11"/>
        <v>21.518218306412134</v>
      </c>
      <c r="N104" t="s">
        <v>544</v>
      </c>
      <c r="O104">
        <f t="shared" si="12"/>
        <v>908.3</v>
      </c>
      <c r="P104">
        <f t="shared" si="13"/>
        <v>144.71216993245227</v>
      </c>
    </row>
    <row r="105" spans="1:16" ht="15.75" thickBot="1" x14ac:dyDescent="0.3">
      <c r="A105" t="str">
        <f t="shared" si="7"/>
        <v>GOOD</v>
      </c>
      <c r="B105" s="1">
        <v>1104</v>
      </c>
      <c r="C105" s="1">
        <v>1104324</v>
      </c>
      <c r="D105" s="1">
        <v>3</v>
      </c>
      <c r="E105" s="1">
        <v>24</v>
      </c>
      <c r="F105" s="1" t="s">
        <v>13</v>
      </c>
      <c r="G105" s="1" t="s">
        <v>188</v>
      </c>
      <c r="H105" s="1">
        <v>15</v>
      </c>
      <c r="I105" s="1">
        <f t="shared" si="8"/>
        <v>1.5495867768595042E-3</v>
      </c>
      <c r="J105" s="2">
        <v>883.5</v>
      </c>
      <c r="K105" s="3">
        <f t="shared" si="9"/>
        <v>1.946035242290749</v>
      </c>
      <c r="L105" s="5">
        <f t="shared" si="10"/>
        <v>1255.8414096916299</v>
      </c>
      <c r="M105" s="5">
        <f t="shared" si="11"/>
        <v>20.930690161527163</v>
      </c>
      <c r="N105" t="s">
        <v>545</v>
      </c>
      <c r="O105">
        <f t="shared" si="12"/>
        <v>883.5</v>
      </c>
      <c r="P105">
        <f t="shared" si="13"/>
        <v>140.76098440528634</v>
      </c>
    </row>
    <row r="106" spans="1:16" ht="15.75" thickBot="1" x14ac:dyDescent="0.3">
      <c r="A106" t="str">
        <f t="shared" si="7"/>
        <v>GOOD</v>
      </c>
      <c r="B106" s="1">
        <v>1105</v>
      </c>
      <c r="C106" s="1">
        <v>1105325</v>
      </c>
      <c r="D106" s="1">
        <v>3</v>
      </c>
      <c r="E106" s="1">
        <v>25</v>
      </c>
      <c r="F106" s="1" t="s">
        <v>189</v>
      </c>
      <c r="G106" s="1" t="s">
        <v>190</v>
      </c>
      <c r="H106" s="1">
        <v>15</v>
      </c>
      <c r="I106" s="1">
        <f t="shared" si="8"/>
        <v>1.5495867768595042E-3</v>
      </c>
      <c r="J106" s="2">
        <v>889</v>
      </c>
      <c r="K106" s="3">
        <f t="shared" si="9"/>
        <v>1.9581497797356828</v>
      </c>
      <c r="L106" s="5">
        <f t="shared" si="10"/>
        <v>1263.6593245227607</v>
      </c>
      <c r="M106" s="5">
        <f t="shared" si="11"/>
        <v>21.06098874204601</v>
      </c>
      <c r="N106" t="s">
        <v>546</v>
      </c>
      <c r="O106">
        <f t="shared" si="12"/>
        <v>889</v>
      </c>
      <c r="P106">
        <f t="shared" si="13"/>
        <v>141.63725538913363</v>
      </c>
    </row>
    <row r="107" spans="1:16" ht="15.75" thickBot="1" x14ac:dyDescent="0.3">
      <c r="A107" t="str">
        <f t="shared" si="7"/>
        <v>GOOD</v>
      </c>
      <c r="B107" s="1">
        <v>1106</v>
      </c>
      <c r="C107" s="1">
        <v>1106326</v>
      </c>
      <c r="D107" s="1">
        <v>3</v>
      </c>
      <c r="E107" s="1">
        <v>26</v>
      </c>
      <c r="F107" s="1" t="s">
        <v>11</v>
      </c>
      <c r="G107" s="1" t="s">
        <v>191</v>
      </c>
      <c r="H107" s="1">
        <v>15</v>
      </c>
      <c r="I107" s="1">
        <f t="shared" si="8"/>
        <v>1.5495867768595042E-3</v>
      </c>
      <c r="J107" s="2">
        <v>884.3</v>
      </c>
      <c r="K107" s="3">
        <f t="shared" si="9"/>
        <v>1.9477973568281937</v>
      </c>
      <c r="L107" s="5">
        <f t="shared" si="10"/>
        <v>1256.9785609397943</v>
      </c>
      <c r="M107" s="5">
        <f t="shared" si="11"/>
        <v>20.949642682329905</v>
      </c>
      <c r="N107" t="s">
        <v>547</v>
      </c>
      <c r="O107">
        <f t="shared" si="12"/>
        <v>884.3</v>
      </c>
      <c r="P107">
        <f t="shared" si="13"/>
        <v>140.88844200293684</v>
      </c>
    </row>
    <row r="108" spans="1:16" ht="15.75" thickBot="1" x14ac:dyDescent="0.3">
      <c r="A108" t="str">
        <f t="shared" si="7"/>
        <v>GOOD</v>
      </c>
      <c r="B108" s="1">
        <v>1107</v>
      </c>
      <c r="C108" s="1">
        <v>1107327</v>
      </c>
      <c r="D108" s="1">
        <v>3</v>
      </c>
      <c r="E108" s="1">
        <v>27</v>
      </c>
      <c r="F108" s="1" t="s">
        <v>192</v>
      </c>
      <c r="G108" s="1" t="s">
        <v>193</v>
      </c>
      <c r="H108" s="1">
        <v>15</v>
      </c>
      <c r="I108" s="1">
        <f t="shared" si="8"/>
        <v>1.5495867768595042E-3</v>
      </c>
      <c r="J108" s="2">
        <v>858.6</v>
      </c>
      <c r="K108" s="3">
        <f t="shared" si="9"/>
        <v>1.8911894273127754</v>
      </c>
      <c r="L108" s="5">
        <f t="shared" si="10"/>
        <v>1220.447577092511</v>
      </c>
      <c r="M108" s="5">
        <f t="shared" si="11"/>
        <v>20.34079295154185</v>
      </c>
      <c r="N108" t="s">
        <v>548</v>
      </c>
      <c r="O108">
        <f t="shared" si="12"/>
        <v>858.6</v>
      </c>
      <c r="P108">
        <f t="shared" si="13"/>
        <v>136.7938666784141</v>
      </c>
    </row>
    <row r="109" spans="1:16" ht="15.75" thickBot="1" x14ac:dyDescent="0.3">
      <c r="A109" t="str">
        <f t="shared" si="7"/>
        <v>GOOD</v>
      </c>
      <c r="B109" s="1">
        <v>1108</v>
      </c>
      <c r="C109" s="1">
        <v>1108328</v>
      </c>
      <c r="D109" s="1">
        <v>3</v>
      </c>
      <c r="E109" s="1">
        <v>28</v>
      </c>
      <c r="F109" s="1" t="s">
        <v>194</v>
      </c>
      <c r="G109" s="1" t="s">
        <v>195</v>
      </c>
      <c r="H109" s="1">
        <v>15</v>
      </c>
      <c r="I109" s="1">
        <f t="shared" si="8"/>
        <v>1.5495867768595042E-3</v>
      </c>
      <c r="J109" s="2">
        <v>945.8</v>
      </c>
      <c r="K109" s="3">
        <f t="shared" si="9"/>
        <v>2.083259911894273</v>
      </c>
      <c r="L109" s="5">
        <f t="shared" si="10"/>
        <v>1344.3970631424374</v>
      </c>
      <c r="M109" s="5">
        <f t="shared" si="11"/>
        <v>22.406617719040625</v>
      </c>
      <c r="N109" t="s">
        <v>549</v>
      </c>
      <c r="O109">
        <f t="shared" si="12"/>
        <v>945.8</v>
      </c>
      <c r="P109">
        <f t="shared" si="13"/>
        <v>150.68674482232009</v>
      </c>
    </row>
    <row r="110" spans="1:16" ht="15.75" thickBot="1" x14ac:dyDescent="0.3">
      <c r="A110" t="str">
        <f t="shared" si="7"/>
        <v>GOOD</v>
      </c>
      <c r="B110" s="1">
        <v>1109</v>
      </c>
      <c r="C110" s="1">
        <v>1109329</v>
      </c>
      <c r="D110" s="1">
        <v>3</v>
      </c>
      <c r="E110" s="1">
        <v>29</v>
      </c>
      <c r="F110" s="1" t="s">
        <v>196</v>
      </c>
      <c r="G110" s="1" t="s">
        <v>197</v>
      </c>
      <c r="H110" s="1">
        <v>15</v>
      </c>
      <c r="I110" s="1">
        <f t="shared" si="8"/>
        <v>1.5495867768595042E-3</v>
      </c>
      <c r="J110" s="2">
        <v>611.1</v>
      </c>
      <c r="K110" s="3">
        <f t="shared" si="9"/>
        <v>1.3460352422907489</v>
      </c>
      <c r="L110" s="5">
        <f t="shared" si="10"/>
        <v>868.64140969162997</v>
      </c>
      <c r="M110" s="5">
        <f t="shared" si="11"/>
        <v>14.477356828193832</v>
      </c>
      <c r="N110" t="s">
        <v>550</v>
      </c>
      <c r="O110">
        <f t="shared" si="12"/>
        <v>611.1</v>
      </c>
      <c r="P110">
        <f t="shared" si="13"/>
        <v>97.361672405286356</v>
      </c>
    </row>
    <row r="111" spans="1:16" ht="15.75" thickBot="1" x14ac:dyDescent="0.3">
      <c r="A111" t="str">
        <f t="shared" si="7"/>
        <v>GOOD</v>
      </c>
      <c r="B111" s="1">
        <v>1110</v>
      </c>
      <c r="C111" s="1">
        <v>1110330</v>
      </c>
      <c r="D111" s="1">
        <v>3</v>
      </c>
      <c r="E111" s="1">
        <v>30</v>
      </c>
      <c r="F111" s="1" t="s">
        <v>160</v>
      </c>
      <c r="G111" s="1" t="s">
        <v>198</v>
      </c>
      <c r="H111" s="1">
        <v>15</v>
      </c>
      <c r="I111" s="1">
        <f t="shared" si="8"/>
        <v>1.5495867768595042E-3</v>
      </c>
      <c r="J111" s="2">
        <v>812.4</v>
      </c>
      <c r="K111" s="3">
        <f t="shared" si="9"/>
        <v>1.7894273127753304</v>
      </c>
      <c r="L111" s="5">
        <f t="shared" si="10"/>
        <v>1154.7770925110133</v>
      </c>
      <c r="M111" s="5">
        <f t="shared" si="11"/>
        <v>19.246284875183555</v>
      </c>
      <c r="N111" t="s">
        <v>551</v>
      </c>
      <c r="O111">
        <f t="shared" si="12"/>
        <v>812.4</v>
      </c>
      <c r="P111">
        <f t="shared" si="13"/>
        <v>129.43319041409694</v>
      </c>
    </row>
    <row r="112" spans="1:16" ht="15.75" thickBot="1" x14ac:dyDescent="0.3">
      <c r="A112" t="str">
        <f t="shared" si="7"/>
        <v>GOOD</v>
      </c>
      <c r="B112" s="1">
        <v>1111</v>
      </c>
      <c r="C112" s="1">
        <v>1111331</v>
      </c>
      <c r="D112" s="1">
        <v>3</v>
      </c>
      <c r="E112" s="1">
        <v>31</v>
      </c>
      <c r="F112" s="1" t="s">
        <v>43</v>
      </c>
      <c r="G112" s="1" t="s">
        <v>199</v>
      </c>
      <c r="H112" s="1">
        <v>15</v>
      </c>
      <c r="I112" s="1">
        <f t="shared" si="8"/>
        <v>1.5495867768595042E-3</v>
      </c>
      <c r="J112" s="2">
        <v>945.5</v>
      </c>
      <c r="K112" s="3">
        <f t="shared" si="9"/>
        <v>2.0825991189427313</v>
      </c>
      <c r="L112" s="5">
        <f t="shared" si="10"/>
        <v>1343.9706314243758</v>
      </c>
      <c r="M112" s="5">
        <f t="shared" si="11"/>
        <v>22.399510523739597</v>
      </c>
      <c r="N112" t="s">
        <v>552</v>
      </c>
      <c r="O112">
        <f t="shared" si="12"/>
        <v>945.5</v>
      </c>
      <c r="P112">
        <f t="shared" si="13"/>
        <v>150.63894822320117</v>
      </c>
    </row>
    <row r="113" spans="1:16" ht="15.75" thickBot="1" x14ac:dyDescent="0.3">
      <c r="A113" t="str">
        <f t="shared" si="7"/>
        <v>GOOD</v>
      </c>
      <c r="B113" s="1">
        <v>1112</v>
      </c>
      <c r="C113" s="1">
        <v>1112332</v>
      </c>
      <c r="D113" s="1">
        <v>3</v>
      </c>
      <c r="E113" s="1">
        <v>32</v>
      </c>
      <c r="F113" s="1" t="s">
        <v>200</v>
      </c>
      <c r="G113" s="1" t="s">
        <v>199</v>
      </c>
      <c r="H113" s="1">
        <v>15</v>
      </c>
      <c r="I113" s="1">
        <f t="shared" si="8"/>
        <v>1.5495867768595042E-3</v>
      </c>
      <c r="J113" s="2">
        <v>586.9</v>
      </c>
      <c r="K113" s="3">
        <f t="shared" si="9"/>
        <v>1.2927312775330395</v>
      </c>
      <c r="L113" s="5">
        <f t="shared" si="10"/>
        <v>834.24258443465476</v>
      </c>
      <c r="M113" s="5">
        <f t="shared" si="11"/>
        <v>13.904043073910913</v>
      </c>
      <c r="N113" t="s">
        <v>553</v>
      </c>
      <c r="O113">
        <f t="shared" si="12"/>
        <v>586.9</v>
      </c>
      <c r="P113">
        <f t="shared" si="13"/>
        <v>93.506080076358288</v>
      </c>
    </row>
    <row r="114" spans="1:16" ht="15.75" thickBot="1" x14ac:dyDescent="0.3">
      <c r="A114" t="str">
        <f t="shared" si="7"/>
        <v>GOOD</v>
      </c>
      <c r="B114" s="1">
        <v>1113</v>
      </c>
      <c r="C114" s="1">
        <v>1113333</v>
      </c>
      <c r="D114" s="1">
        <v>3</v>
      </c>
      <c r="E114" s="1">
        <v>33</v>
      </c>
      <c r="F114" s="1" t="s">
        <v>92</v>
      </c>
      <c r="G114" s="1" t="s">
        <v>158</v>
      </c>
      <c r="H114" s="1">
        <v>15</v>
      </c>
      <c r="I114" s="1">
        <f t="shared" si="8"/>
        <v>1.5495867768595042E-3</v>
      </c>
      <c r="J114" s="2">
        <v>867.6</v>
      </c>
      <c r="K114" s="3">
        <f t="shared" si="9"/>
        <v>1.9110132158590309</v>
      </c>
      <c r="L114" s="5">
        <f t="shared" si="10"/>
        <v>1233.2405286343612</v>
      </c>
      <c r="M114" s="5">
        <f t="shared" si="11"/>
        <v>20.554008810572686</v>
      </c>
      <c r="N114" t="s">
        <v>554</v>
      </c>
      <c r="O114">
        <f t="shared" si="12"/>
        <v>867.6</v>
      </c>
      <c r="P114">
        <f t="shared" si="13"/>
        <v>138.22776465198237</v>
      </c>
    </row>
    <row r="115" spans="1:16" ht="15.75" thickBot="1" x14ac:dyDescent="0.3">
      <c r="A115" t="str">
        <f t="shared" si="7"/>
        <v>GOOD</v>
      </c>
      <c r="B115" s="1">
        <v>1114</v>
      </c>
      <c r="C115" s="1">
        <v>1114334</v>
      </c>
      <c r="D115" s="1">
        <v>3</v>
      </c>
      <c r="E115" s="1">
        <v>34</v>
      </c>
      <c r="F115" s="1" t="s">
        <v>201</v>
      </c>
      <c r="G115" s="1" t="s">
        <v>202</v>
      </c>
      <c r="H115" s="1">
        <v>15</v>
      </c>
      <c r="I115" s="1">
        <f t="shared" si="8"/>
        <v>1.5495867768595042E-3</v>
      </c>
      <c r="J115" s="2">
        <v>954.7</v>
      </c>
      <c r="K115" s="3">
        <f t="shared" si="9"/>
        <v>2.1028634361233483</v>
      </c>
      <c r="L115" s="5">
        <f t="shared" si="10"/>
        <v>1357.0478707782675</v>
      </c>
      <c r="M115" s="5">
        <f t="shared" si="11"/>
        <v>22.617464512971125</v>
      </c>
      <c r="N115" t="s">
        <v>555</v>
      </c>
      <c r="O115">
        <f t="shared" si="12"/>
        <v>954.7</v>
      </c>
      <c r="P115">
        <f t="shared" si="13"/>
        <v>152.10471059618212</v>
      </c>
    </row>
    <row r="116" spans="1:16" ht="15.75" thickBot="1" x14ac:dyDescent="0.3">
      <c r="A116" t="str">
        <f t="shared" si="7"/>
        <v>GOOD</v>
      </c>
      <c r="B116" s="1">
        <v>1115</v>
      </c>
      <c r="C116" s="1">
        <v>1115335</v>
      </c>
      <c r="D116" s="1">
        <v>3</v>
      </c>
      <c r="E116" s="1">
        <v>35</v>
      </c>
      <c r="F116" s="1" t="s">
        <v>203</v>
      </c>
      <c r="G116" s="1" t="s">
        <v>204</v>
      </c>
      <c r="H116" s="1">
        <v>15</v>
      </c>
      <c r="I116" s="1">
        <f t="shared" si="8"/>
        <v>1.5495867768595042E-3</v>
      </c>
      <c r="J116" s="2">
        <v>1123.9000000000001</v>
      </c>
      <c r="K116" s="3">
        <f t="shared" si="9"/>
        <v>2.4755506607929516</v>
      </c>
      <c r="L116" s="5">
        <f t="shared" si="10"/>
        <v>1597.5553597650514</v>
      </c>
      <c r="M116" s="5">
        <f t="shared" si="11"/>
        <v>26.625922662750856</v>
      </c>
      <c r="N116" t="s">
        <v>556</v>
      </c>
      <c r="O116">
        <f t="shared" si="12"/>
        <v>1123.9000000000001</v>
      </c>
      <c r="P116">
        <f t="shared" si="13"/>
        <v>179.06199249926578</v>
      </c>
    </row>
    <row r="117" spans="1:16" ht="15.75" thickBot="1" x14ac:dyDescent="0.3">
      <c r="A117" t="str">
        <f t="shared" si="7"/>
        <v>GOOD</v>
      </c>
      <c r="B117" s="1">
        <v>1116</v>
      </c>
      <c r="C117" s="1">
        <v>1116336</v>
      </c>
      <c r="D117" s="1">
        <v>3</v>
      </c>
      <c r="E117" s="1">
        <v>36</v>
      </c>
      <c r="F117" s="1" t="s">
        <v>205</v>
      </c>
      <c r="G117" s="1" t="s">
        <v>206</v>
      </c>
      <c r="H117" s="1">
        <v>15</v>
      </c>
      <c r="I117" s="1">
        <f t="shared" si="8"/>
        <v>1.5495867768595042E-3</v>
      </c>
      <c r="J117" s="2">
        <v>848.1</v>
      </c>
      <c r="K117" s="3">
        <f t="shared" si="9"/>
        <v>1.8680616740088105</v>
      </c>
      <c r="L117" s="5">
        <f t="shared" si="10"/>
        <v>1205.5224669603524</v>
      </c>
      <c r="M117" s="5">
        <f t="shared" si="11"/>
        <v>20.092041116005873</v>
      </c>
      <c r="N117" t="s">
        <v>557</v>
      </c>
      <c r="O117">
        <f t="shared" si="12"/>
        <v>848.1</v>
      </c>
      <c r="P117">
        <f t="shared" si="13"/>
        <v>135.1209857092511</v>
      </c>
    </row>
    <row r="118" spans="1:16" ht="15.75" thickBot="1" x14ac:dyDescent="0.3">
      <c r="A118" t="str">
        <f t="shared" si="7"/>
        <v>GOOD</v>
      </c>
      <c r="B118" s="1">
        <v>1117</v>
      </c>
      <c r="C118" s="1">
        <v>1117337</v>
      </c>
      <c r="D118" s="1">
        <v>3</v>
      </c>
      <c r="E118" s="1">
        <v>37</v>
      </c>
      <c r="F118" s="1" t="s">
        <v>207</v>
      </c>
      <c r="G118" s="1" t="s">
        <v>164</v>
      </c>
      <c r="H118" s="1">
        <v>15</v>
      </c>
      <c r="I118" s="1">
        <f t="shared" si="8"/>
        <v>1.5495867768595042E-3</v>
      </c>
      <c r="J118" s="2">
        <v>901.6</v>
      </c>
      <c r="K118" s="3">
        <f t="shared" si="9"/>
        <v>1.9859030837004406</v>
      </c>
      <c r="L118" s="5">
        <f t="shared" si="10"/>
        <v>1281.5694566813509</v>
      </c>
      <c r="M118" s="5">
        <f t="shared" si="11"/>
        <v>21.359490944689181</v>
      </c>
      <c r="N118" t="s">
        <v>558</v>
      </c>
      <c r="O118">
        <f t="shared" si="12"/>
        <v>901.6</v>
      </c>
      <c r="P118">
        <f t="shared" si="13"/>
        <v>143.64471255212922</v>
      </c>
    </row>
    <row r="119" spans="1:16" ht="15.75" thickBot="1" x14ac:dyDescent="0.3">
      <c r="A119" t="str">
        <f t="shared" si="7"/>
        <v>GOOD</v>
      </c>
      <c r="B119" s="1">
        <v>1118</v>
      </c>
      <c r="C119" s="1">
        <v>1118338</v>
      </c>
      <c r="D119" s="1">
        <v>3</v>
      </c>
      <c r="E119" s="1">
        <v>38</v>
      </c>
      <c r="F119" s="1" t="s">
        <v>208</v>
      </c>
      <c r="G119" s="1" t="s">
        <v>209</v>
      </c>
      <c r="H119" s="1">
        <v>15</v>
      </c>
      <c r="I119" s="1">
        <f t="shared" si="8"/>
        <v>1.5495867768595042E-3</v>
      </c>
      <c r="J119" s="2">
        <v>1090.8</v>
      </c>
      <c r="K119" s="3">
        <f t="shared" si="9"/>
        <v>2.4026431718061674</v>
      </c>
      <c r="L119" s="5">
        <f t="shared" si="10"/>
        <v>1550.5057268722467</v>
      </c>
      <c r="M119" s="5">
        <f t="shared" si="11"/>
        <v>25.841762114537445</v>
      </c>
      <c r="N119" t="s">
        <v>559</v>
      </c>
      <c r="O119">
        <f t="shared" si="12"/>
        <v>1090.8</v>
      </c>
      <c r="P119">
        <f t="shared" si="13"/>
        <v>173.78843439647576</v>
      </c>
    </row>
    <row r="120" spans="1:16" ht="15.75" thickBot="1" x14ac:dyDescent="0.3">
      <c r="A120" t="str">
        <f t="shared" si="7"/>
        <v>GOOD</v>
      </c>
      <c r="B120" s="1">
        <v>1119</v>
      </c>
      <c r="C120" s="1">
        <v>1119339</v>
      </c>
      <c r="D120" s="1">
        <v>3</v>
      </c>
      <c r="E120" s="1">
        <v>39</v>
      </c>
      <c r="F120" s="1" t="s">
        <v>210</v>
      </c>
      <c r="G120" s="1" t="s">
        <v>211</v>
      </c>
      <c r="H120" s="1">
        <v>15</v>
      </c>
      <c r="I120" s="1">
        <f t="shared" si="8"/>
        <v>1.5495867768595042E-3</v>
      </c>
      <c r="J120" s="2">
        <v>1079.8</v>
      </c>
      <c r="K120" s="3">
        <f t="shared" si="9"/>
        <v>2.3784140969162997</v>
      </c>
      <c r="L120" s="5">
        <f t="shared" si="10"/>
        <v>1534.8698972099853</v>
      </c>
      <c r="M120" s="5">
        <f t="shared" si="11"/>
        <v>25.581164953499755</v>
      </c>
      <c r="N120" t="s">
        <v>560</v>
      </c>
      <c r="O120">
        <f t="shared" si="12"/>
        <v>1079.8</v>
      </c>
      <c r="P120">
        <f t="shared" si="13"/>
        <v>172.03589242878121</v>
      </c>
    </row>
    <row r="121" spans="1:16" ht="15.75" thickBot="1" x14ac:dyDescent="0.3">
      <c r="A121" t="str">
        <f t="shared" si="7"/>
        <v>GOOD</v>
      </c>
      <c r="B121" s="1">
        <v>1120</v>
      </c>
      <c r="C121" s="1">
        <v>1120340</v>
      </c>
      <c r="D121" s="1">
        <v>3</v>
      </c>
      <c r="E121" s="1">
        <v>40</v>
      </c>
      <c r="F121" s="1" t="s">
        <v>212</v>
      </c>
      <c r="G121" s="1" t="s">
        <v>161</v>
      </c>
      <c r="H121" s="1">
        <v>15</v>
      </c>
      <c r="I121" s="1">
        <f t="shared" si="8"/>
        <v>1.5495867768595042E-3</v>
      </c>
      <c r="J121" s="2">
        <v>762.3</v>
      </c>
      <c r="K121" s="3">
        <f t="shared" si="9"/>
        <v>1.6790748898678414</v>
      </c>
      <c r="L121" s="5">
        <f t="shared" si="10"/>
        <v>1083.5629955947136</v>
      </c>
      <c r="M121" s="5">
        <f t="shared" si="11"/>
        <v>18.059383259911893</v>
      </c>
      <c r="N121" t="s">
        <v>561</v>
      </c>
      <c r="O121">
        <f t="shared" si="12"/>
        <v>762.3</v>
      </c>
      <c r="P121">
        <f t="shared" si="13"/>
        <v>121.45115836123348</v>
      </c>
    </row>
    <row r="122" spans="1:16" ht="15.75" thickBot="1" x14ac:dyDescent="0.3">
      <c r="A122" t="str">
        <f t="shared" si="7"/>
        <v>GOOD</v>
      </c>
      <c r="B122" s="1">
        <v>1121</v>
      </c>
      <c r="C122" s="1">
        <v>1121440</v>
      </c>
      <c r="D122" s="1">
        <v>4</v>
      </c>
      <c r="E122" s="1">
        <v>40</v>
      </c>
      <c r="F122" s="1" t="s">
        <v>213</v>
      </c>
      <c r="G122" s="1" t="s">
        <v>214</v>
      </c>
      <c r="H122" s="1">
        <v>15</v>
      </c>
      <c r="I122" s="1">
        <f t="shared" si="8"/>
        <v>1.5495867768595042E-3</v>
      </c>
      <c r="J122" s="2">
        <v>1133.9000000000001</v>
      </c>
      <c r="K122" s="3">
        <f t="shared" si="9"/>
        <v>2.4975770925110132</v>
      </c>
      <c r="L122" s="5">
        <f t="shared" si="10"/>
        <v>1611.7697503671072</v>
      </c>
      <c r="M122" s="5">
        <f t="shared" si="11"/>
        <v>26.862829172785119</v>
      </c>
      <c r="N122" t="s">
        <v>562</v>
      </c>
      <c r="O122">
        <f t="shared" si="12"/>
        <v>1133.9000000000001</v>
      </c>
      <c r="P122">
        <f t="shared" si="13"/>
        <v>180.65521246989721</v>
      </c>
    </row>
    <row r="123" spans="1:16" ht="15.75" thickBot="1" x14ac:dyDescent="0.3">
      <c r="A123" t="str">
        <f t="shared" si="7"/>
        <v>GOOD</v>
      </c>
      <c r="B123" s="1">
        <v>1122</v>
      </c>
      <c r="C123" s="1">
        <v>1122439</v>
      </c>
      <c r="D123" s="1">
        <v>4</v>
      </c>
      <c r="E123" s="1">
        <v>39</v>
      </c>
      <c r="F123" s="1" t="s">
        <v>215</v>
      </c>
      <c r="G123" s="1" t="s">
        <v>216</v>
      </c>
      <c r="H123" s="1">
        <v>15</v>
      </c>
      <c r="I123" s="1">
        <f t="shared" si="8"/>
        <v>1.5495867768595042E-3</v>
      </c>
      <c r="J123" s="2">
        <v>854.9</v>
      </c>
      <c r="K123" s="3">
        <f t="shared" si="9"/>
        <v>1.8830396475770925</v>
      </c>
      <c r="L123" s="5">
        <f t="shared" si="10"/>
        <v>1215.1882525697504</v>
      </c>
      <c r="M123" s="5">
        <f t="shared" si="11"/>
        <v>20.253137542829172</v>
      </c>
      <c r="N123" t="s">
        <v>563</v>
      </c>
      <c r="O123">
        <f t="shared" si="12"/>
        <v>854.9</v>
      </c>
      <c r="P123">
        <f t="shared" si="13"/>
        <v>136.20437528928048</v>
      </c>
    </row>
    <row r="124" spans="1:16" ht="15.75" thickBot="1" x14ac:dyDescent="0.3">
      <c r="A124" t="str">
        <f t="shared" si="7"/>
        <v>GOOD</v>
      </c>
      <c r="B124" s="1">
        <v>1123</v>
      </c>
      <c r="C124" s="1">
        <v>1123438</v>
      </c>
      <c r="D124" s="1">
        <v>4</v>
      </c>
      <c r="E124" s="1">
        <v>38</v>
      </c>
      <c r="F124" s="1" t="s">
        <v>121</v>
      </c>
      <c r="G124" s="1" t="s">
        <v>217</v>
      </c>
      <c r="H124" s="1">
        <v>15</v>
      </c>
      <c r="I124" s="1">
        <f t="shared" si="8"/>
        <v>1.5495867768595042E-3</v>
      </c>
      <c r="J124" s="2">
        <v>1054.3</v>
      </c>
      <c r="K124" s="3">
        <f t="shared" si="9"/>
        <v>2.3222466960352421</v>
      </c>
      <c r="L124" s="5">
        <f t="shared" si="10"/>
        <v>1498.6232011747429</v>
      </c>
      <c r="M124" s="5">
        <f t="shared" si="11"/>
        <v>24.977053352912382</v>
      </c>
      <c r="N124" t="s">
        <v>564</v>
      </c>
      <c r="O124">
        <f t="shared" si="12"/>
        <v>1054.3</v>
      </c>
      <c r="P124">
        <f t="shared" si="13"/>
        <v>167.97318150367107</v>
      </c>
    </row>
    <row r="125" spans="1:16" ht="15.75" thickBot="1" x14ac:dyDescent="0.3">
      <c r="A125" t="str">
        <f t="shared" si="7"/>
        <v>GOOD</v>
      </c>
      <c r="B125" s="1">
        <v>1124</v>
      </c>
      <c r="C125" s="1">
        <v>1124437</v>
      </c>
      <c r="D125" s="1">
        <v>4</v>
      </c>
      <c r="E125" s="1">
        <v>37</v>
      </c>
      <c r="F125" s="1" t="s">
        <v>218</v>
      </c>
      <c r="G125" s="1" t="s">
        <v>219</v>
      </c>
      <c r="H125" s="1">
        <v>15</v>
      </c>
      <c r="I125" s="1">
        <f t="shared" si="8"/>
        <v>1.5495867768595042E-3</v>
      </c>
      <c r="J125" s="2">
        <v>1063.3</v>
      </c>
      <c r="K125" s="3">
        <f t="shared" si="9"/>
        <v>2.3420704845814977</v>
      </c>
      <c r="L125" s="5">
        <f t="shared" si="10"/>
        <v>1511.4161527165932</v>
      </c>
      <c r="M125" s="5">
        <f t="shared" si="11"/>
        <v>25.190269211943221</v>
      </c>
      <c r="N125" t="s">
        <v>565</v>
      </c>
      <c r="O125">
        <f t="shared" si="12"/>
        <v>1063.3</v>
      </c>
      <c r="P125">
        <f t="shared" si="13"/>
        <v>169.40707947723936</v>
      </c>
    </row>
    <row r="126" spans="1:16" ht="15.75" thickBot="1" x14ac:dyDescent="0.3">
      <c r="A126" t="str">
        <f t="shared" si="7"/>
        <v>GOOD</v>
      </c>
      <c r="B126" s="1">
        <v>1125</v>
      </c>
      <c r="C126" s="1">
        <v>1125436</v>
      </c>
      <c r="D126" s="1">
        <v>4</v>
      </c>
      <c r="E126" s="1">
        <v>36</v>
      </c>
      <c r="F126" s="1" t="s">
        <v>194</v>
      </c>
      <c r="G126" s="1" t="s">
        <v>99</v>
      </c>
      <c r="H126" s="1">
        <v>15</v>
      </c>
      <c r="I126" s="1">
        <f t="shared" si="8"/>
        <v>1.5495867768595042E-3</v>
      </c>
      <c r="J126" s="2">
        <v>953.8</v>
      </c>
      <c r="K126" s="3">
        <f t="shared" si="9"/>
        <v>2.1008810572687224</v>
      </c>
      <c r="L126" s="5">
        <f t="shared" si="10"/>
        <v>1355.7685756240821</v>
      </c>
      <c r="M126" s="5">
        <f t="shared" si="11"/>
        <v>22.596142927068037</v>
      </c>
      <c r="N126" t="s">
        <v>566</v>
      </c>
      <c r="O126">
        <f t="shared" si="12"/>
        <v>953.8</v>
      </c>
      <c r="P126">
        <f t="shared" si="13"/>
        <v>151.96132079882526</v>
      </c>
    </row>
    <row r="127" spans="1:16" ht="15.75" thickBot="1" x14ac:dyDescent="0.3">
      <c r="A127" t="str">
        <f t="shared" si="7"/>
        <v>GOOD</v>
      </c>
      <c r="B127" s="1">
        <v>1126</v>
      </c>
      <c r="C127" s="1">
        <v>1126435</v>
      </c>
      <c r="D127" s="1">
        <v>4</v>
      </c>
      <c r="E127" s="1">
        <v>35</v>
      </c>
      <c r="F127" s="1" t="s">
        <v>220</v>
      </c>
      <c r="G127" s="1" t="s">
        <v>221</v>
      </c>
      <c r="H127" s="1">
        <v>15</v>
      </c>
      <c r="I127" s="1">
        <f t="shared" si="8"/>
        <v>1.5495867768595042E-3</v>
      </c>
      <c r="J127" s="2">
        <v>1027</v>
      </c>
      <c r="K127" s="3">
        <f t="shared" si="9"/>
        <v>2.2621145374449338</v>
      </c>
      <c r="L127" s="5">
        <f t="shared" si="10"/>
        <v>1459.8179148311306</v>
      </c>
      <c r="M127" s="5">
        <f t="shared" si="11"/>
        <v>24.330298580518843</v>
      </c>
      <c r="N127" t="s">
        <v>567</v>
      </c>
      <c r="O127">
        <f t="shared" si="12"/>
        <v>1027</v>
      </c>
      <c r="P127">
        <f t="shared" si="13"/>
        <v>163.62369098384727</v>
      </c>
    </row>
    <row r="128" spans="1:16" ht="15.75" thickBot="1" x14ac:dyDescent="0.3">
      <c r="A128" t="str">
        <f t="shared" si="7"/>
        <v>GOOD</v>
      </c>
      <c r="B128" s="1">
        <v>1127</v>
      </c>
      <c r="C128" s="1">
        <v>1127434</v>
      </c>
      <c r="D128" s="1">
        <v>4</v>
      </c>
      <c r="E128" s="1">
        <v>34</v>
      </c>
      <c r="F128" s="1" t="s">
        <v>34</v>
      </c>
      <c r="G128" s="1" t="s">
        <v>222</v>
      </c>
      <c r="H128" s="1">
        <v>15</v>
      </c>
      <c r="I128" s="1">
        <f t="shared" si="8"/>
        <v>1.5495867768595042E-3</v>
      </c>
      <c r="J128" s="2">
        <v>952.8</v>
      </c>
      <c r="K128" s="3">
        <f t="shared" si="9"/>
        <v>2.0986784140969164</v>
      </c>
      <c r="L128" s="5">
        <f t="shared" si="10"/>
        <v>1354.3471365638766</v>
      </c>
      <c r="M128" s="5">
        <f t="shared" si="11"/>
        <v>22.57245227606461</v>
      </c>
      <c r="N128" t="s">
        <v>568</v>
      </c>
      <c r="O128">
        <f t="shared" si="12"/>
        <v>952.8</v>
      </c>
      <c r="P128">
        <f t="shared" si="13"/>
        <v>151.80199880176212</v>
      </c>
    </row>
    <row r="129" spans="1:16" ht="15.75" thickBot="1" x14ac:dyDescent="0.3">
      <c r="A129" t="str">
        <f t="shared" si="7"/>
        <v>GOOD</v>
      </c>
      <c r="B129" s="1">
        <v>1128</v>
      </c>
      <c r="C129" s="1">
        <v>1128433</v>
      </c>
      <c r="D129" s="1">
        <v>4</v>
      </c>
      <c r="E129" s="1">
        <v>33</v>
      </c>
      <c r="F129" s="1" t="s">
        <v>61</v>
      </c>
      <c r="G129" s="1" t="s">
        <v>223</v>
      </c>
      <c r="H129" s="1">
        <v>15</v>
      </c>
      <c r="I129" s="1">
        <f t="shared" si="8"/>
        <v>1.5495867768595042E-3</v>
      </c>
      <c r="J129" s="2">
        <v>836.3</v>
      </c>
      <c r="K129" s="3">
        <f t="shared" si="9"/>
        <v>1.8420704845814977</v>
      </c>
      <c r="L129" s="5">
        <f t="shared" si="10"/>
        <v>1188.7494860499264</v>
      </c>
      <c r="M129" s="5">
        <f t="shared" si="11"/>
        <v>19.812491434165441</v>
      </c>
      <c r="N129" t="s">
        <v>569</v>
      </c>
      <c r="O129">
        <f t="shared" si="12"/>
        <v>836.3</v>
      </c>
      <c r="P129">
        <f t="shared" si="13"/>
        <v>133.24098614390601</v>
      </c>
    </row>
    <row r="130" spans="1:16" ht="15.75" thickBot="1" x14ac:dyDescent="0.3">
      <c r="A130" t="str">
        <f t="shared" si="7"/>
        <v>GOOD</v>
      </c>
      <c r="B130" s="1">
        <v>1129</v>
      </c>
      <c r="C130" s="1">
        <v>1129432</v>
      </c>
      <c r="D130" s="1">
        <v>4</v>
      </c>
      <c r="E130" s="1">
        <v>32</v>
      </c>
      <c r="F130" s="1" t="s">
        <v>224</v>
      </c>
      <c r="G130" s="1" t="s">
        <v>225</v>
      </c>
      <c r="H130" s="1">
        <v>15</v>
      </c>
      <c r="I130" s="1">
        <f t="shared" si="8"/>
        <v>1.5495867768595042E-3</v>
      </c>
      <c r="J130" s="2">
        <v>781.6</v>
      </c>
      <c r="K130" s="3">
        <f t="shared" si="9"/>
        <v>1.7215859030837004</v>
      </c>
      <c r="L130" s="5">
        <f t="shared" si="10"/>
        <v>1110.9967694566812</v>
      </c>
      <c r="M130" s="5">
        <f t="shared" si="11"/>
        <v>18.51661282427802</v>
      </c>
      <c r="N130" t="s">
        <v>570</v>
      </c>
      <c r="O130">
        <f t="shared" si="12"/>
        <v>781.6</v>
      </c>
      <c r="P130">
        <f t="shared" si="13"/>
        <v>124.52607290455212</v>
      </c>
    </row>
    <row r="131" spans="1:16" ht="15.75" thickBot="1" x14ac:dyDescent="0.3">
      <c r="A131" t="str">
        <f t="shared" ref="A131:A194" si="14">IF((B131+3000)=VALUE(RIGHT(N131,4)),"GOOD","ERROR")</f>
        <v>GOOD</v>
      </c>
      <c r="B131" s="1">
        <v>1130</v>
      </c>
      <c r="C131" s="1">
        <v>1130431</v>
      </c>
      <c r="D131" s="1">
        <v>4</v>
      </c>
      <c r="E131" s="1">
        <v>31</v>
      </c>
      <c r="F131" s="1" t="s">
        <v>61</v>
      </c>
      <c r="G131" s="1" t="s">
        <v>101</v>
      </c>
      <c r="H131" s="1">
        <v>15</v>
      </c>
      <c r="I131" s="1">
        <f t="shared" ref="I131:I194" si="15">H131*4.5/43560</f>
        <v>1.5495867768595042E-3</v>
      </c>
      <c r="J131" s="2">
        <v>996.5</v>
      </c>
      <c r="K131" s="3">
        <f t="shared" ref="K131:K194" si="16">J131/454</f>
        <v>2.1949339207048459</v>
      </c>
      <c r="L131" s="5">
        <f t="shared" ref="L131:L194" si="17">K131/I131</f>
        <v>1416.4640234948606</v>
      </c>
      <c r="M131" s="5">
        <f t="shared" ref="M131:M194" si="18">L131/60</f>
        <v>23.607733724914343</v>
      </c>
      <c r="N131" t="s">
        <v>571</v>
      </c>
      <c r="O131">
        <f t="shared" ref="O131:O194" si="19">J131</f>
        <v>996.5</v>
      </c>
      <c r="P131">
        <f t="shared" ref="P131:P194" si="20">L131*0.112085</f>
        <v>158.76437007342145</v>
      </c>
    </row>
    <row r="132" spans="1:16" ht="15.75" thickBot="1" x14ac:dyDescent="0.3">
      <c r="A132" t="str">
        <f t="shared" si="14"/>
        <v>GOOD</v>
      </c>
      <c r="B132" s="1">
        <v>1131</v>
      </c>
      <c r="C132" s="1">
        <v>1131430</v>
      </c>
      <c r="D132" s="1">
        <v>4</v>
      </c>
      <c r="E132" s="1">
        <v>30</v>
      </c>
      <c r="F132" s="1" t="s">
        <v>226</v>
      </c>
      <c r="G132" s="1" t="s">
        <v>227</v>
      </c>
      <c r="H132" s="1">
        <v>15</v>
      </c>
      <c r="I132" s="1">
        <f t="shared" si="15"/>
        <v>1.5495867768595042E-3</v>
      </c>
      <c r="J132" s="2">
        <v>1078.7</v>
      </c>
      <c r="K132" s="3">
        <f t="shared" si="16"/>
        <v>2.3759911894273129</v>
      </c>
      <c r="L132" s="5">
        <f t="shared" si="17"/>
        <v>1533.3063142437593</v>
      </c>
      <c r="M132" s="5">
        <f t="shared" si="18"/>
        <v>25.555105237395988</v>
      </c>
      <c r="N132" t="s">
        <v>572</v>
      </c>
      <c r="O132">
        <f t="shared" si="19"/>
        <v>1078.7</v>
      </c>
      <c r="P132">
        <f t="shared" si="20"/>
        <v>171.86063823201178</v>
      </c>
    </row>
    <row r="133" spans="1:16" ht="15.75" thickBot="1" x14ac:dyDescent="0.3">
      <c r="A133" t="str">
        <f t="shared" si="14"/>
        <v>GOOD</v>
      </c>
      <c r="B133" s="1">
        <v>1132</v>
      </c>
      <c r="C133" s="1">
        <v>1132429</v>
      </c>
      <c r="D133" s="1">
        <v>4</v>
      </c>
      <c r="E133" s="1">
        <v>29</v>
      </c>
      <c r="F133" s="1" t="s">
        <v>228</v>
      </c>
      <c r="G133" s="1" t="s">
        <v>229</v>
      </c>
      <c r="H133" s="1">
        <v>15</v>
      </c>
      <c r="I133" s="1">
        <f t="shared" si="15"/>
        <v>1.5495867768595042E-3</v>
      </c>
      <c r="J133" s="2">
        <v>850.1</v>
      </c>
      <c r="K133" s="3">
        <f t="shared" si="16"/>
        <v>1.8724669603524229</v>
      </c>
      <c r="L133" s="5">
        <f t="shared" si="17"/>
        <v>1208.3653450807635</v>
      </c>
      <c r="M133" s="5">
        <f t="shared" si="18"/>
        <v>20.139422418012725</v>
      </c>
      <c r="N133" t="s">
        <v>573</v>
      </c>
      <c r="O133">
        <f t="shared" si="19"/>
        <v>850.1</v>
      </c>
      <c r="P133">
        <f t="shared" si="20"/>
        <v>135.43962970337739</v>
      </c>
    </row>
    <row r="134" spans="1:16" ht="15.75" thickBot="1" x14ac:dyDescent="0.3">
      <c r="A134" t="str">
        <f t="shared" si="14"/>
        <v>GOOD</v>
      </c>
      <c r="B134" s="1">
        <v>1133</v>
      </c>
      <c r="C134" s="1">
        <v>1133428</v>
      </c>
      <c r="D134" s="1">
        <v>4</v>
      </c>
      <c r="E134" s="1">
        <v>28</v>
      </c>
      <c r="F134" s="1" t="s">
        <v>230</v>
      </c>
      <c r="G134" s="1" t="s">
        <v>231</v>
      </c>
      <c r="H134" s="1">
        <v>15</v>
      </c>
      <c r="I134" s="1">
        <f t="shared" si="15"/>
        <v>1.5495867768595042E-3</v>
      </c>
      <c r="J134" s="2">
        <v>759.1</v>
      </c>
      <c r="K134" s="3">
        <f t="shared" si="16"/>
        <v>1.6720264317180618</v>
      </c>
      <c r="L134" s="5">
        <f t="shared" si="17"/>
        <v>1079.0143906020558</v>
      </c>
      <c r="M134" s="5">
        <f t="shared" si="18"/>
        <v>17.983573176700929</v>
      </c>
      <c r="N134" t="s">
        <v>574</v>
      </c>
      <c r="O134">
        <f t="shared" si="19"/>
        <v>759.1</v>
      </c>
      <c r="P134">
        <f t="shared" si="20"/>
        <v>120.94132797063142</v>
      </c>
    </row>
    <row r="135" spans="1:16" ht="15.75" thickBot="1" x14ac:dyDescent="0.3">
      <c r="A135" t="str">
        <f t="shared" si="14"/>
        <v>GOOD</v>
      </c>
      <c r="B135" s="1">
        <v>1134</v>
      </c>
      <c r="C135" s="1">
        <v>1134427</v>
      </c>
      <c r="D135" s="1">
        <v>4</v>
      </c>
      <c r="E135" s="1">
        <v>27</v>
      </c>
      <c r="F135" s="1" t="s">
        <v>232</v>
      </c>
      <c r="G135" s="1" t="s">
        <v>233</v>
      </c>
      <c r="H135" s="1">
        <v>15</v>
      </c>
      <c r="I135" s="1">
        <f t="shared" si="15"/>
        <v>1.5495867768595042E-3</v>
      </c>
      <c r="J135" s="2">
        <v>829.9</v>
      </c>
      <c r="K135" s="3">
        <f t="shared" si="16"/>
        <v>1.8279735682819382</v>
      </c>
      <c r="L135" s="5">
        <f t="shared" si="17"/>
        <v>1179.6522760646108</v>
      </c>
      <c r="M135" s="5">
        <f t="shared" si="18"/>
        <v>19.660871267743513</v>
      </c>
      <c r="N135" t="s">
        <v>575</v>
      </c>
      <c r="O135">
        <f t="shared" si="19"/>
        <v>829.9</v>
      </c>
      <c r="P135">
        <f t="shared" si="20"/>
        <v>132.22132536270189</v>
      </c>
    </row>
    <row r="136" spans="1:16" ht="15.75" thickBot="1" x14ac:dyDescent="0.3">
      <c r="A136" t="str">
        <f t="shared" si="14"/>
        <v>GOOD</v>
      </c>
      <c r="B136" s="1">
        <v>1135</v>
      </c>
      <c r="C136" s="1">
        <v>1135426</v>
      </c>
      <c r="D136" s="1">
        <v>4</v>
      </c>
      <c r="E136" s="1">
        <v>26</v>
      </c>
      <c r="F136" s="1" t="s">
        <v>234</v>
      </c>
      <c r="G136" s="1" t="s">
        <v>176</v>
      </c>
      <c r="H136" s="1">
        <v>15</v>
      </c>
      <c r="I136" s="1">
        <f t="shared" si="15"/>
        <v>1.5495867768595042E-3</v>
      </c>
      <c r="J136" s="2">
        <v>1148.2</v>
      </c>
      <c r="K136" s="3">
        <f t="shared" si="16"/>
        <v>2.5290748898678417</v>
      </c>
      <c r="L136" s="5">
        <f t="shared" si="17"/>
        <v>1632.0963289280471</v>
      </c>
      <c r="M136" s="5">
        <f t="shared" si="18"/>
        <v>27.20160548213412</v>
      </c>
      <c r="N136" t="s">
        <v>576</v>
      </c>
      <c r="O136">
        <f t="shared" si="19"/>
        <v>1148.2</v>
      </c>
      <c r="P136">
        <f t="shared" si="20"/>
        <v>182.93351702790017</v>
      </c>
    </row>
    <row r="137" spans="1:16" ht="15.75" thickBot="1" x14ac:dyDescent="0.3">
      <c r="A137" t="str">
        <f t="shared" si="14"/>
        <v>GOOD</v>
      </c>
      <c r="B137" s="1">
        <v>1136</v>
      </c>
      <c r="C137" s="1">
        <v>1136425</v>
      </c>
      <c r="D137" s="1">
        <v>4</v>
      </c>
      <c r="E137" s="1">
        <v>25</v>
      </c>
      <c r="F137" s="1" t="s">
        <v>160</v>
      </c>
      <c r="G137" s="1" t="s">
        <v>235</v>
      </c>
      <c r="H137" s="1">
        <v>15</v>
      </c>
      <c r="I137" s="1">
        <f t="shared" si="15"/>
        <v>1.5495867768595042E-3</v>
      </c>
      <c r="J137" s="2">
        <v>860.7</v>
      </c>
      <c r="K137" s="3">
        <f t="shared" si="16"/>
        <v>1.8958149779735685</v>
      </c>
      <c r="L137" s="5">
        <f t="shared" si="17"/>
        <v>1223.4325991189428</v>
      </c>
      <c r="M137" s="5">
        <f t="shared" si="18"/>
        <v>20.390543318649048</v>
      </c>
      <c r="N137" t="s">
        <v>577</v>
      </c>
      <c r="O137">
        <f t="shared" si="19"/>
        <v>860.7</v>
      </c>
      <c r="P137">
        <f t="shared" si="20"/>
        <v>137.12844287224669</v>
      </c>
    </row>
    <row r="138" spans="1:16" ht="15.75" thickBot="1" x14ac:dyDescent="0.3">
      <c r="A138" t="str">
        <f t="shared" si="14"/>
        <v>GOOD</v>
      </c>
      <c r="B138" s="1">
        <v>1137</v>
      </c>
      <c r="C138" s="1">
        <v>1137424</v>
      </c>
      <c r="D138" s="1">
        <v>4</v>
      </c>
      <c r="E138" s="1">
        <v>24</v>
      </c>
      <c r="F138" s="1" t="s">
        <v>45</v>
      </c>
      <c r="G138" s="1" t="s">
        <v>236</v>
      </c>
      <c r="H138" s="1">
        <v>15</v>
      </c>
      <c r="I138" s="1">
        <f t="shared" si="15"/>
        <v>1.5495867768595042E-3</v>
      </c>
      <c r="J138" s="2">
        <v>909.9</v>
      </c>
      <c r="K138" s="3">
        <f t="shared" si="16"/>
        <v>2.0041850220264315</v>
      </c>
      <c r="L138" s="5">
        <f t="shared" si="17"/>
        <v>1293.3674008810572</v>
      </c>
      <c r="M138" s="5">
        <f t="shared" si="18"/>
        <v>21.556123348017618</v>
      </c>
      <c r="N138" t="s">
        <v>578</v>
      </c>
      <c r="O138">
        <f t="shared" si="19"/>
        <v>909.9</v>
      </c>
      <c r="P138">
        <f t="shared" si="20"/>
        <v>144.96708512775331</v>
      </c>
    </row>
    <row r="139" spans="1:16" ht="15.75" thickBot="1" x14ac:dyDescent="0.3">
      <c r="A139" t="str">
        <f t="shared" si="14"/>
        <v>GOOD</v>
      </c>
      <c r="B139" s="1">
        <v>1138</v>
      </c>
      <c r="C139" s="1">
        <v>1138423</v>
      </c>
      <c r="D139" s="1">
        <v>4</v>
      </c>
      <c r="E139" s="1">
        <v>23</v>
      </c>
      <c r="F139" s="1" t="s">
        <v>160</v>
      </c>
      <c r="G139" s="1" t="s">
        <v>237</v>
      </c>
      <c r="H139" s="1">
        <v>15</v>
      </c>
      <c r="I139" s="1">
        <f t="shared" si="15"/>
        <v>1.5495867768595042E-3</v>
      </c>
      <c r="J139" s="2">
        <v>1126.7</v>
      </c>
      <c r="K139" s="3">
        <f t="shared" si="16"/>
        <v>2.4817180616740089</v>
      </c>
      <c r="L139" s="5">
        <f t="shared" si="17"/>
        <v>1601.5353891336269</v>
      </c>
      <c r="M139" s="5">
        <f t="shared" si="18"/>
        <v>26.692256485560449</v>
      </c>
      <c r="N139" t="s">
        <v>579</v>
      </c>
      <c r="O139">
        <f t="shared" si="19"/>
        <v>1126.7</v>
      </c>
      <c r="P139">
        <f t="shared" si="20"/>
        <v>179.50809409104258</v>
      </c>
    </row>
    <row r="140" spans="1:16" ht="15.75" thickBot="1" x14ac:dyDescent="0.3">
      <c r="A140" t="str">
        <f t="shared" si="14"/>
        <v>GOOD</v>
      </c>
      <c r="B140" s="1">
        <v>1139</v>
      </c>
      <c r="C140" s="1">
        <v>1139422</v>
      </c>
      <c r="D140" s="1">
        <v>4</v>
      </c>
      <c r="E140" s="1">
        <v>22</v>
      </c>
      <c r="F140" s="1" t="s">
        <v>94</v>
      </c>
      <c r="G140" s="1" t="s">
        <v>238</v>
      </c>
      <c r="H140" s="1">
        <v>15</v>
      </c>
      <c r="I140" s="1">
        <f t="shared" si="15"/>
        <v>1.5495867768595042E-3</v>
      </c>
      <c r="J140" s="2">
        <v>956.4</v>
      </c>
      <c r="K140" s="3">
        <f t="shared" si="16"/>
        <v>2.1066079295154183</v>
      </c>
      <c r="L140" s="5">
        <f t="shared" si="17"/>
        <v>1359.4643171806165</v>
      </c>
      <c r="M140" s="5">
        <f t="shared" si="18"/>
        <v>22.657738619676941</v>
      </c>
      <c r="N140" t="s">
        <v>580</v>
      </c>
      <c r="O140">
        <f t="shared" si="19"/>
        <v>956.4</v>
      </c>
      <c r="P140">
        <f t="shared" si="20"/>
        <v>152.3755579911894</v>
      </c>
    </row>
    <row r="141" spans="1:16" ht="15.75" thickBot="1" x14ac:dyDescent="0.3">
      <c r="A141" t="str">
        <f t="shared" si="14"/>
        <v>GOOD</v>
      </c>
      <c r="B141" s="1">
        <v>1140</v>
      </c>
      <c r="C141" s="1">
        <v>1140421</v>
      </c>
      <c r="D141" s="1">
        <v>4</v>
      </c>
      <c r="E141" s="1">
        <v>21</v>
      </c>
      <c r="F141" s="1" t="s">
        <v>49</v>
      </c>
      <c r="G141" s="1" t="s">
        <v>239</v>
      </c>
      <c r="H141" s="1">
        <v>15</v>
      </c>
      <c r="I141" s="1">
        <f t="shared" si="15"/>
        <v>1.5495867768595042E-3</v>
      </c>
      <c r="J141" s="2">
        <v>1141</v>
      </c>
      <c r="K141" s="3">
        <f t="shared" si="16"/>
        <v>2.5132158590308369</v>
      </c>
      <c r="L141" s="5">
        <f t="shared" si="17"/>
        <v>1621.8619676945666</v>
      </c>
      <c r="M141" s="5">
        <f t="shared" si="18"/>
        <v>27.031032794909443</v>
      </c>
      <c r="N141" t="s">
        <v>581</v>
      </c>
      <c r="O141">
        <f t="shared" si="19"/>
        <v>1141</v>
      </c>
      <c r="P141">
        <f t="shared" si="20"/>
        <v>181.78639864904551</v>
      </c>
    </row>
    <row r="142" spans="1:16" ht="15.75" thickBot="1" x14ac:dyDescent="0.3">
      <c r="A142" t="str">
        <f t="shared" si="14"/>
        <v>GOOD</v>
      </c>
      <c r="B142" s="1">
        <v>1141</v>
      </c>
      <c r="C142" s="1">
        <v>1141420</v>
      </c>
      <c r="D142" s="1">
        <v>4</v>
      </c>
      <c r="E142" s="1">
        <v>20</v>
      </c>
      <c r="F142" s="1" t="s">
        <v>240</v>
      </c>
      <c r="G142" s="1" t="s">
        <v>41</v>
      </c>
      <c r="H142" s="1">
        <v>15</v>
      </c>
      <c r="I142" s="1">
        <f t="shared" si="15"/>
        <v>1.5495867768595042E-3</v>
      </c>
      <c r="J142" s="2">
        <v>1108.3</v>
      </c>
      <c r="K142" s="3">
        <f t="shared" si="16"/>
        <v>2.4411894273127754</v>
      </c>
      <c r="L142" s="5">
        <f t="shared" si="17"/>
        <v>1575.3809104258444</v>
      </c>
      <c r="M142" s="5">
        <f t="shared" si="18"/>
        <v>26.256348507097407</v>
      </c>
      <c r="N142" t="s">
        <v>582</v>
      </c>
      <c r="O142">
        <f t="shared" si="19"/>
        <v>1108.3</v>
      </c>
      <c r="P142">
        <f t="shared" si="20"/>
        <v>176.57656934508077</v>
      </c>
    </row>
    <row r="143" spans="1:16" ht="15.75" thickBot="1" x14ac:dyDescent="0.3">
      <c r="A143" t="str">
        <f t="shared" si="14"/>
        <v>GOOD</v>
      </c>
      <c r="B143" s="1">
        <v>1142</v>
      </c>
      <c r="C143" s="1">
        <v>1142419</v>
      </c>
      <c r="D143" s="1">
        <v>4</v>
      </c>
      <c r="E143" s="1">
        <v>19</v>
      </c>
      <c r="F143" s="1" t="s">
        <v>154</v>
      </c>
      <c r="G143" s="1" t="s">
        <v>155</v>
      </c>
      <c r="H143" s="1">
        <v>15</v>
      </c>
      <c r="I143" s="1">
        <f t="shared" si="15"/>
        <v>1.5495867768595042E-3</v>
      </c>
      <c r="J143" s="2">
        <v>917.2</v>
      </c>
      <c r="K143" s="3">
        <f t="shared" si="16"/>
        <v>2.0202643171806169</v>
      </c>
      <c r="L143" s="5">
        <f t="shared" si="17"/>
        <v>1303.7439060205581</v>
      </c>
      <c r="M143" s="5">
        <f t="shared" si="18"/>
        <v>21.729065100342634</v>
      </c>
      <c r="N143" t="s">
        <v>583</v>
      </c>
      <c r="O143">
        <f t="shared" si="19"/>
        <v>917.2</v>
      </c>
      <c r="P143">
        <f t="shared" si="20"/>
        <v>146.13013570631426</v>
      </c>
    </row>
    <row r="144" spans="1:16" ht="15.75" thickBot="1" x14ac:dyDescent="0.3">
      <c r="A144" t="str">
        <f t="shared" si="14"/>
        <v>GOOD</v>
      </c>
      <c r="B144" s="1">
        <v>1143</v>
      </c>
      <c r="C144" s="1">
        <v>1143418</v>
      </c>
      <c r="D144" s="1">
        <v>4</v>
      </c>
      <c r="E144" s="1">
        <v>18</v>
      </c>
      <c r="F144" s="1" t="s">
        <v>241</v>
      </c>
      <c r="G144" s="1" t="s">
        <v>242</v>
      </c>
      <c r="H144" s="1">
        <v>15</v>
      </c>
      <c r="I144" s="1">
        <f t="shared" si="15"/>
        <v>1.5495867768595042E-3</v>
      </c>
      <c r="J144" s="2">
        <v>846.1</v>
      </c>
      <c r="K144" s="3">
        <f t="shared" si="16"/>
        <v>1.8636563876651984</v>
      </c>
      <c r="L144" s="5">
        <f t="shared" si="17"/>
        <v>1202.6795888399413</v>
      </c>
      <c r="M144" s="5">
        <f t="shared" si="18"/>
        <v>20.044659813999022</v>
      </c>
      <c r="N144" t="s">
        <v>584</v>
      </c>
      <c r="O144">
        <f t="shared" si="19"/>
        <v>846.1</v>
      </c>
      <c r="P144">
        <f t="shared" si="20"/>
        <v>134.80234171512481</v>
      </c>
    </row>
    <row r="145" spans="1:16" ht="15.75" thickBot="1" x14ac:dyDescent="0.3">
      <c r="A145" t="str">
        <f t="shared" si="14"/>
        <v>GOOD</v>
      </c>
      <c r="B145" s="1">
        <v>1144</v>
      </c>
      <c r="C145" s="1">
        <v>1144417</v>
      </c>
      <c r="D145" s="1">
        <v>4</v>
      </c>
      <c r="E145" s="1">
        <v>17</v>
      </c>
      <c r="F145" s="1" t="s">
        <v>100</v>
      </c>
      <c r="G145" s="1" t="s">
        <v>24</v>
      </c>
      <c r="H145" s="1">
        <v>15</v>
      </c>
      <c r="I145" s="1">
        <f t="shared" si="15"/>
        <v>1.5495867768595042E-3</v>
      </c>
      <c r="J145" s="2">
        <v>760.6</v>
      </c>
      <c r="K145" s="3">
        <f t="shared" si="16"/>
        <v>1.6753303964757709</v>
      </c>
      <c r="L145" s="5">
        <f t="shared" si="17"/>
        <v>1081.1465491923641</v>
      </c>
      <c r="M145" s="5">
        <f t="shared" si="18"/>
        <v>18.019109153206067</v>
      </c>
      <c r="N145" t="s">
        <v>585</v>
      </c>
      <c r="O145">
        <f t="shared" si="19"/>
        <v>760.6</v>
      </c>
      <c r="P145">
        <f t="shared" si="20"/>
        <v>121.18031096622613</v>
      </c>
    </row>
    <row r="146" spans="1:16" ht="15.75" thickBot="1" x14ac:dyDescent="0.3">
      <c r="A146" t="str">
        <f t="shared" si="14"/>
        <v>GOOD</v>
      </c>
      <c r="B146" s="1">
        <v>1145</v>
      </c>
      <c r="C146" s="1">
        <v>1145416</v>
      </c>
      <c r="D146" s="1">
        <v>4</v>
      </c>
      <c r="E146" s="1">
        <v>16</v>
      </c>
      <c r="F146" s="1" t="s">
        <v>243</v>
      </c>
      <c r="G146" s="1" t="s">
        <v>244</v>
      </c>
      <c r="H146" s="1">
        <v>15</v>
      </c>
      <c r="I146" s="1">
        <f t="shared" si="15"/>
        <v>1.5495867768595042E-3</v>
      </c>
      <c r="J146" s="2">
        <v>852.7</v>
      </c>
      <c r="K146" s="3">
        <f t="shared" si="16"/>
        <v>1.878193832599119</v>
      </c>
      <c r="L146" s="5">
        <f t="shared" si="17"/>
        <v>1212.0610866372981</v>
      </c>
      <c r="M146" s="5">
        <f t="shared" si="18"/>
        <v>20.201018110621636</v>
      </c>
      <c r="N146" t="s">
        <v>586</v>
      </c>
      <c r="O146">
        <f t="shared" si="19"/>
        <v>852.7</v>
      </c>
      <c r="P146">
        <f t="shared" si="20"/>
        <v>135.85386689574156</v>
      </c>
    </row>
    <row r="147" spans="1:16" ht="15.75" thickBot="1" x14ac:dyDescent="0.3">
      <c r="A147" t="str">
        <f t="shared" si="14"/>
        <v>GOOD</v>
      </c>
      <c r="B147" s="1">
        <v>1146</v>
      </c>
      <c r="C147" s="1">
        <v>1146415</v>
      </c>
      <c r="D147" s="1">
        <v>4</v>
      </c>
      <c r="E147" s="1">
        <v>15</v>
      </c>
      <c r="F147" s="1" t="s">
        <v>201</v>
      </c>
      <c r="G147" s="1" t="s">
        <v>164</v>
      </c>
      <c r="H147" s="1">
        <v>15</v>
      </c>
      <c r="I147" s="1">
        <f t="shared" si="15"/>
        <v>1.5495867768595042E-3</v>
      </c>
      <c r="J147" s="2">
        <v>893.6</v>
      </c>
      <c r="K147" s="3">
        <f t="shared" si="16"/>
        <v>1.9682819383259913</v>
      </c>
      <c r="L147" s="5">
        <f t="shared" si="17"/>
        <v>1270.1979441997064</v>
      </c>
      <c r="M147" s="5">
        <f t="shared" si="18"/>
        <v>21.169965736661773</v>
      </c>
      <c r="N147" t="s">
        <v>587</v>
      </c>
      <c r="O147">
        <f t="shared" si="19"/>
        <v>893.6</v>
      </c>
      <c r="P147">
        <f t="shared" si="20"/>
        <v>142.37013657562409</v>
      </c>
    </row>
    <row r="148" spans="1:16" ht="15.75" thickBot="1" x14ac:dyDescent="0.3">
      <c r="A148" t="str">
        <f t="shared" si="14"/>
        <v>GOOD</v>
      </c>
      <c r="B148" s="1">
        <v>1147</v>
      </c>
      <c r="C148" s="1">
        <v>1147414</v>
      </c>
      <c r="D148" s="1">
        <v>4</v>
      </c>
      <c r="E148" s="1">
        <v>14</v>
      </c>
      <c r="F148" s="1" t="s">
        <v>245</v>
      </c>
      <c r="G148" s="1" t="s">
        <v>246</v>
      </c>
      <c r="H148" s="1">
        <v>15</v>
      </c>
      <c r="I148" s="1">
        <f t="shared" si="15"/>
        <v>1.5495867768595042E-3</v>
      </c>
      <c r="J148" s="2">
        <v>817.3</v>
      </c>
      <c r="K148" s="3">
        <f t="shared" si="16"/>
        <v>1.8002202643171805</v>
      </c>
      <c r="L148" s="5">
        <f t="shared" si="17"/>
        <v>1161.7421439060204</v>
      </c>
      <c r="M148" s="5">
        <f t="shared" si="18"/>
        <v>19.362369065100339</v>
      </c>
      <c r="N148" t="s">
        <v>588</v>
      </c>
      <c r="O148">
        <f t="shared" si="19"/>
        <v>817.3</v>
      </c>
      <c r="P148">
        <f t="shared" si="20"/>
        <v>130.2138681997063</v>
      </c>
    </row>
    <row r="149" spans="1:16" ht="15.75" thickBot="1" x14ac:dyDescent="0.3">
      <c r="A149" t="str">
        <f t="shared" si="14"/>
        <v>GOOD</v>
      </c>
      <c r="B149" s="1">
        <v>1148</v>
      </c>
      <c r="C149" s="1">
        <v>1148413</v>
      </c>
      <c r="D149" s="1">
        <v>4</v>
      </c>
      <c r="E149" s="1">
        <v>13</v>
      </c>
      <c r="F149" s="1" t="s">
        <v>247</v>
      </c>
      <c r="G149" s="1" t="s">
        <v>248</v>
      </c>
      <c r="H149" s="1">
        <v>15</v>
      </c>
      <c r="I149" s="1">
        <f t="shared" si="15"/>
        <v>1.5495867768595042E-3</v>
      </c>
      <c r="J149" s="2">
        <v>1031.9000000000001</v>
      </c>
      <c r="K149" s="3">
        <f t="shared" si="16"/>
        <v>2.2729074889867844</v>
      </c>
      <c r="L149" s="5">
        <f t="shared" si="17"/>
        <v>1466.7829662261381</v>
      </c>
      <c r="M149" s="5">
        <f t="shared" si="18"/>
        <v>24.446382770435637</v>
      </c>
      <c r="N149" t="s">
        <v>589</v>
      </c>
      <c r="O149">
        <f t="shared" si="19"/>
        <v>1031.9000000000001</v>
      </c>
      <c r="P149">
        <f t="shared" si="20"/>
        <v>164.40436876945671</v>
      </c>
    </row>
    <row r="150" spans="1:16" ht="15.75" thickBot="1" x14ac:dyDescent="0.3">
      <c r="A150" t="str">
        <f t="shared" si="14"/>
        <v>GOOD</v>
      </c>
      <c r="B150" s="1">
        <v>1149</v>
      </c>
      <c r="C150" s="1">
        <v>1149412</v>
      </c>
      <c r="D150" s="1">
        <v>4</v>
      </c>
      <c r="E150" s="1">
        <v>12</v>
      </c>
      <c r="F150" s="1" t="s">
        <v>232</v>
      </c>
      <c r="G150" s="1" t="s">
        <v>249</v>
      </c>
      <c r="H150" s="1">
        <v>15</v>
      </c>
      <c r="I150" s="1">
        <f t="shared" si="15"/>
        <v>1.5495867768595042E-3</v>
      </c>
      <c r="J150" s="2">
        <v>691.3</v>
      </c>
      <c r="K150" s="3">
        <f t="shared" si="16"/>
        <v>1.5226872246696035</v>
      </c>
      <c r="L150" s="5">
        <f t="shared" si="17"/>
        <v>982.64082232011742</v>
      </c>
      <c r="M150" s="5">
        <f t="shared" si="18"/>
        <v>16.377347038668624</v>
      </c>
      <c r="N150" t="s">
        <v>590</v>
      </c>
      <c r="O150">
        <f t="shared" si="19"/>
        <v>691.3</v>
      </c>
      <c r="P150">
        <f t="shared" si="20"/>
        <v>110.13929656975037</v>
      </c>
    </row>
    <row r="151" spans="1:16" ht="15.75" thickBot="1" x14ac:dyDescent="0.3">
      <c r="A151" t="str">
        <f t="shared" si="14"/>
        <v>GOOD</v>
      </c>
      <c r="B151" s="1">
        <v>1150</v>
      </c>
      <c r="C151" s="1">
        <v>1150411</v>
      </c>
      <c r="D151" s="1">
        <v>4</v>
      </c>
      <c r="E151" s="1">
        <v>11</v>
      </c>
      <c r="F151" s="1" t="s">
        <v>90</v>
      </c>
      <c r="G151" s="1" t="s">
        <v>250</v>
      </c>
      <c r="H151" s="1">
        <v>15</v>
      </c>
      <c r="I151" s="1">
        <f t="shared" si="15"/>
        <v>1.5495867768595042E-3</v>
      </c>
      <c r="J151" s="2">
        <v>942.4</v>
      </c>
      <c r="K151" s="3">
        <f t="shared" si="16"/>
        <v>2.0757709251101319</v>
      </c>
      <c r="L151" s="5">
        <f t="shared" si="17"/>
        <v>1339.5641703377385</v>
      </c>
      <c r="M151" s="5">
        <f t="shared" si="18"/>
        <v>22.326069505628976</v>
      </c>
      <c r="N151" t="s">
        <v>591</v>
      </c>
      <c r="O151">
        <f t="shared" si="19"/>
        <v>942.4</v>
      </c>
      <c r="P151">
        <f t="shared" si="20"/>
        <v>150.14505003230542</v>
      </c>
    </row>
    <row r="152" spans="1:16" ht="15.75" thickBot="1" x14ac:dyDescent="0.3">
      <c r="A152" t="str">
        <f t="shared" si="14"/>
        <v>GOOD</v>
      </c>
      <c r="B152" s="1">
        <v>1151</v>
      </c>
      <c r="C152" s="1">
        <v>1151410</v>
      </c>
      <c r="D152" s="1">
        <v>4</v>
      </c>
      <c r="E152" s="1">
        <v>10</v>
      </c>
      <c r="F152" s="1" t="s">
        <v>251</v>
      </c>
      <c r="G152" s="1" t="s">
        <v>252</v>
      </c>
      <c r="H152" s="1">
        <v>15</v>
      </c>
      <c r="I152" s="1">
        <f t="shared" si="15"/>
        <v>1.5495867768595042E-3</v>
      </c>
      <c r="J152" s="2">
        <v>968.2</v>
      </c>
      <c r="K152" s="3">
        <f t="shared" si="16"/>
        <v>2.1325991189427316</v>
      </c>
      <c r="L152" s="5">
        <f t="shared" si="17"/>
        <v>1376.2372980910427</v>
      </c>
      <c r="M152" s="5">
        <f t="shared" si="18"/>
        <v>22.937288301517377</v>
      </c>
      <c r="N152" t="s">
        <v>592</v>
      </c>
      <c r="O152">
        <f t="shared" si="19"/>
        <v>968.2</v>
      </c>
      <c r="P152">
        <f t="shared" si="20"/>
        <v>154.25555755653454</v>
      </c>
    </row>
    <row r="153" spans="1:16" ht="15.75" thickBot="1" x14ac:dyDescent="0.3">
      <c r="A153" t="str">
        <f t="shared" si="14"/>
        <v>GOOD</v>
      </c>
      <c r="B153" s="1">
        <v>1152</v>
      </c>
      <c r="C153" s="1">
        <v>115249</v>
      </c>
      <c r="D153" s="1">
        <v>4</v>
      </c>
      <c r="E153" s="1">
        <v>9</v>
      </c>
      <c r="F153" s="1" t="s">
        <v>253</v>
      </c>
      <c r="G153" s="1" t="s">
        <v>182</v>
      </c>
      <c r="H153" s="1">
        <v>15</v>
      </c>
      <c r="I153" s="1">
        <f t="shared" si="15"/>
        <v>1.5495867768595042E-3</v>
      </c>
      <c r="J153" s="2">
        <v>784.9</v>
      </c>
      <c r="K153" s="3">
        <f t="shared" si="16"/>
        <v>1.7288546255506607</v>
      </c>
      <c r="L153" s="5">
        <f t="shared" si="17"/>
        <v>1115.6875183553598</v>
      </c>
      <c r="M153" s="5">
        <f t="shared" si="18"/>
        <v>18.594791972589331</v>
      </c>
      <c r="N153" t="s">
        <v>593</v>
      </c>
      <c r="O153">
        <f t="shared" si="19"/>
        <v>784.9</v>
      </c>
      <c r="P153">
        <f t="shared" si="20"/>
        <v>125.0518354948605</v>
      </c>
    </row>
    <row r="154" spans="1:16" ht="15.75" thickBot="1" x14ac:dyDescent="0.3">
      <c r="A154" t="str">
        <f t="shared" si="14"/>
        <v>GOOD</v>
      </c>
      <c r="B154" s="1">
        <v>1153</v>
      </c>
      <c r="C154" s="1">
        <v>115348</v>
      </c>
      <c r="D154" s="1">
        <v>4</v>
      </c>
      <c r="E154" s="1">
        <v>8</v>
      </c>
      <c r="F154" s="1" t="s">
        <v>232</v>
      </c>
      <c r="G154" s="1" t="s">
        <v>254</v>
      </c>
      <c r="H154" s="1">
        <v>15</v>
      </c>
      <c r="I154" s="1">
        <f t="shared" si="15"/>
        <v>1.5495867768595042E-3</v>
      </c>
      <c r="J154" s="2">
        <v>917.4</v>
      </c>
      <c r="K154" s="3">
        <f t="shared" si="16"/>
        <v>2.0207048458149779</v>
      </c>
      <c r="L154" s="5">
        <f t="shared" si="17"/>
        <v>1304.0281938325991</v>
      </c>
      <c r="M154" s="5">
        <f t="shared" si="18"/>
        <v>21.73380323054332</v>
      </c>
      <c r="N154" t="s">
        <v>594</v>
      </c>
      <c r="O154">
        <f t="shared" si="19"/>
        <v>917.4</v>
      </c>
      <c r="P154">
        <f t="shared" si="20"/>
        <v>146.16200010572686</v>
      </c>
    </row>
    <row r="155" spans="1:16" ht="15.75" thickBot="1" x14ac:dyDescent="0.3">
      <c r="A155" t="str">
        <f t="shared" si="14"/>
        <v>GOOD</v>
      </c>
      <c r="B155" s="1">
        <v>1154</v>
      </c>
      <c r="C155" s="1">
        <v>115447</v>
      </c>
      <c r="D155" s="1">
        <v>4</v>
      </c>
      <c r="E155" s="1">
        <v>7</v>
      </c>
      <c r="F155" s="1" t="s">
        <v>255</v>
      </c>
      <c r="G155" s="1" t="s">
        <v>256</v>
      </c>
      <c r="H155" s="1">
        <v>15</v>
      </c>
      <c r="I155" s="1">
        <f t="shared" si="15"/>
        <v>1.5495867768595042E-3</v>
      </c>
      <c r="J155" s="2">
        <v>646.9</v>
      </c>
      <c r="K155" s="3">
        <f t="shared" si="16"/>
        <v>1.4248898678414097</v>
      </c>
      <c r="L155" s="5">
        <f t="shared" si="17"/>
        <v>919.52892804698968</v>
      </c>
      <c r="M155" s="5">
        <f t="shared" si="18"/>
        <v>15.325482134116495</v>
      </c>
      <c r="N155" t="s">
        <v>595</v>
      </c>
      <c r="O155">
        <f t="shared" si="19"/>
        <v>646.9</v>
      </c>
      <c r="P155">
        <f t="shared" si="20"/>
        <v>103.06539990014684</v>
      </c>
    </row>
    <row r="156" spans="1:16" ht="15.75" thickBot="1" x14ac:dyDescent="0.3">
      <c r="A156" t="str">
        <f t="shared" si="14"/>
        <v>GOOD</v>
      </c>
      <c r="B156" s="1">
        <v>1155</v>
      </c>
      <c r="C156" s="1">
        <v>115546</v>
      </c>
      <c r="D156" s="1">
        <v>4</v>
      </c>
      <c r="E156" s="1">
        <v>6</v>
      </c>
      <c r="F156" s="1" t="s">
        <v>96</v>
      </c>
      <c r="G156" s="1" t="s">
        <v>66</v>
      </c>
      <c r="H156" s="1">
        <v>15</v>
      </c>
      <c r="I156" s="1">
        <f t="shared" si="15"/>
        <v>1.5495867768595042E-3</v>
      </c>
      <c r="J156" s="2">
        <v>811.2</v>
      </c>
      <c r="K156" s="3">
        <f t="shared" si="16"/>
        <v>1.7867841409691632</v>
      </c>
      <c r="L156" s="5">
        <f t="shared" si="17"/>
        <v>1153.0713656387666</v>
      </c>
      <c r="M156" s="5">
        <f t="shared" si="18"/>
        <v>19.217856093979442</v>
      </c>
      <c r="N156" t="s">
        <v>596</v>
      </c>
      <c r="O156">
        <f t="shared" si="19"/>
        <v>811.2</v>
      </c>
      <c r="P156">
        <f t="shared" si="20"/>
        <v>129.24200401762116</v>
      </c>
    </row>
    <row r="157" spans="1:16" ht="15.75" thickBot="1" x14ac:dyDescent="0.3">
      <c r="A157" t="str">
        <f t="shared" si="14"/>
        <v>GOOD</v>
      </c>
      <c r="B157" s="1">
        <v>1156</v>
      </c>
      <c r="C157" s="1">
        <v>115645</v>
      </c>
      <c r="D157" s="1">
        <v>4</v>
      </c>
      <c r="E157" s="1">
        <v>5</v>
      </c>
      <c r="F157" s="1" t="s">
        <v>205</v>
      </c>
      <c r="G157" s="1" t="s">
        <v>242</v>
      </c>
      <c r="H157" s="1">
        <v>15</v>
      </c>
      <c r="I157" s="1">
        <f t="shared" si="15"/>
        <v>1.5495867768595042E-3</v>
      </c>
      <c r="J157" s="2">
        <v>584.9</v>
      </c>
      <c r="K157" s="3">
        <f t="shared" si="16"/>
        <v>1.2883259911894274</v>
      </c>
      <c r="L157" s="5">
        <f t="shared" si="17"/>
        <v>831.39970631424376</v>
      </c>
      <c r="M157" s="5">
        <f t="shared" si="18"/>
        <v>13.856661771904063</v>
      </c>
      <c r="N157" t="s">
        <v>597</v>
      </c>
      <c r="O157">
        <f t="shared" si="19"/>
        <v>584.9</v>
      </c>
      <c r="P157">
        <f t="shared" si="20"/>
        <v>93.187436082232011</v>
      </c>
    </row>
    <row r="158" spans="1:16" ht="15.75" thickBot="1" x14ac:dyDescent="0.3">
      <c r="A158" t="str">
        <f t="shared" si="14"/>
        <v>GOOD</v>
      </c>
      <c r="B158" s="1">
        <v>1157</v>
      </c>
      <c r="C158" s="1">
        <v>115744</v>
      </c>
      <c r="D158" s="1">
        <v>4</v>
      </c>
      <c r="E158" s="1">
        <v>4</v>
      </c>
      <c r="F158" s="1" t="s">
        <v>257</v>
      </c>
      <c r="G158" s="1" t="s">
        <v>56</v>
      </c>
      <c r="H158" s="1">
        <v>15</v>
      </c>
      <c r="I158" s="1">
        <f t="shared" si="15"/>
        <v>1.5495867768595042E-3</v>
      </c>
      <c r="J158" s="2">
        <v>797.7</v>
      </c>
      <c r="K158" s="3">
        <f t="shared" si="16"/>
        <v>1.7570484581497798</v>
      </c>
      <c r="L158" s="5">
        <f t="shared" si="17"/>
        <v>1133.8819383259913</v>
      </c>
      <c r="M158" s="5">
        <f t="shared" si="18"/>
        <v>18.898032305433187</v>
      </c>
      <c r="N158" t="s">
        <v>598</v>
      </c>
      <c r="O158">
        <f t="shared" si="19"/>
        <v>797.7</v>
      </c>
      <c r="P158">
        <f t="shared" si="20"/>
        <v>127.09115705726875</v>
      </c>
    </row>
    <row r="159" spans="1:16" ht="15.75" thickBot="1" x14ac:dyDescent="0.3">
      <c r="A159" t="str">
        <f t="shared" si="14"/>
        <v>GOOD</v>
      </c>
      <c r="B159" s="1">
        <v>1158</v>
      </c>
      <c r="C159" s="1">
        <v>115843</v>
      </c>
      <c r="D159" s="1">
        <v>4</v>
      </c>
      <c r="E159" s="1">
        <v>3</v>
      </c>
      <c r="F159" s="1" t="s">
        <v>258</v>
      </c>
      <c r="G159" s="1" t="s">
        <v>259</v>
      </c>
      <c r="H159" s="1">
        <v>15</v>
      </c>
      <c r="I159" s="1">
        <f t="shared" si="15"/>
        <v>1.5495867768595042E-3</v>
      </c>
      <c r="J159" s="2">
        <v>731.9</v>
      </c>
      <c r="K159" s="3">
        <f t="shared" si="16"/>
        <v>1.6121145374449339</v>
      </c>
      <c r="L159" s="5">
        <f t="shared" si="17"/>
        <v>1040.3512481644641</v>
      </c>
      <c r="M159" s="5">
        <f t="shared" si="18"/>
        <v>17.339187469407737</v>
      </c>
      <c r="N159" t="s">
        <v>599</v>
      </c>
      <c r="O159">
        <f t="shared" si="19"/>
        <v>731.9</v>
      </c>
      <c r="P159">
        <f t="shared" si="20"/>
        <v>116.60776965051396</v>
      </c>
    </row>
    <row r="160" spans="1:16" ht="15.75" thickBot="1" x14ac:dyDescent="0.3">
      <c r="A160" t="str">
        <f t="shared" si="14"/>
        <v>GOOD</v>
      </c>
      <c r="B160" s="1">
        <v>1159</v>
      </c>
      <c r="C160" s="1">
        <v>115942</v>
      </c>
      <c r="D160" s="1">
        <v>4</v>
      </c>
      <c r="E160" s="1">
        <v>2</v>
      </c>
      <c r="F160" s="1" t="s">
        <v>260</v>
      </c>
      <c r="G160" s="1" t="s">
        <v>52</v>
      </c>
      <c r="H160" s="1">
        <v>15</v>
      </c>
      <c r="I160" s="1">
        <f t="shared" si="15"/>
        <v>1.5495867768595042E-3</v>
      </c>
      <c r="J160" s="2">
        <v>393</v>
      </c>
      <c r="K160" s="3">
        <f t="shared" si="16"/>
        <v>0.86563876651982374</v>
      </c>
      <c r="L160" s="5">
        <f t="shared" si="17"/>
        <v>558.6255506607929</v>
      </c>
      <c r="M160" s="5">
        <f t="shared" si="18"/>
        <v>9.3104258443465486</v>
      </c>
      <c r="N160" t="s">
        <v>600</v>
      </c>
      <c r="O160">
        <f t="shared" si="19"/>
        <v>393</v>
      </c>
      <c r="P160">
        <f t="shared" si="20"/>
        <v>62.613544845814971</v>
      </c>
    </row>
    <row r="161" spans="1:16" ht="15.75" thickBot="1" x14ac:dyDescent="0.3">
      <c r="A161" t="str">
        <f t="shared" si="14"/>
        <v>GOOD</v>
      </c>
      <c r="B161" s="1">
        <v>1160</v>
      </c>
      <c r="C161" s="1">
        <v>116041</v>
      </c>
      <c r="D161" s="1">
        <v>4</v>
      </c>
      <c r="E161" s="1">
        <v>1</v>
      </c>
      <c r="F161" s="1" t="s">
        <v>261</v>
      </c>
      <c r="G161" s="1" t="s">
        <v>85</v>
      </c>
      <c r="H161" s="1">
        <v>15</v>
      </c>
      <c r="I161" s="1">
        <f t="shared" si="15"/>
        <v>1.5495867768595042E-3</v>
      </c>
      <c r="J161" s="2">
        <v>552.6</v>
      </c>
      <c r="K161" s="3">
        <f t="shared" si="16"/>
        <v>1.2171806167400883</v>
      </c>
      <c r="L161" s="5">
        <f t="shared" si="17"/>
        <v>785.48722466960362</v>
      </c>
      <c r="M161" s="5">
        <f t="shared" si="18"/>
        <v>13.091453744493394</v>
      </c>
      <c r="N161" t="s">
        <v>601</v>
      </c>
      <c r="O161">
        <f t="shared" si="19"/>
        <v>552.6</v>
      </c>
      <c r="P161">
        <f t="shared" si="20"/>
        <v>88.041335577092525</v>
      </c>
    </row>
    <row r="162" spans="1:16" ht="15.75" thickBot="1" x14ac:dyDescent="0.3">
      <c r="A162" t="str">
        <f t="shared" si="14"/>
        <v>GOOD</v>
      </c>
      <c r="B162" s="1">
        <v>1161</v>
      </c>
      <c r="C162" s="1">
        <v>116151</v>
      </c>
      <c r="D162" s="1">
        <v>5</v>
      </c>
      <c r="E162" s="1">
        <v>1</v>
      </c>
      <c r="F162" s="1" t="s">
        <v>150</v>
      </c>
      <c r="G162" s="1" t="s">
        <v>236</v>
      </c>
      <c r="H162" s="1">
        <v>15.5</v>
      </c>
      <c r="I162" s="1">
        <f t="shared" si="15"/>
        <v>1.6012396694214876E-3</v>
      </c>
      <c r="J162" s="2">
        <v>299.8</v>
      </c>
      <c r="K162" s="3">
        <f t="shared" si="16"/>
        <v>0.66035242290748897</v>
      </c>
      <c r="L162" s="5">
        <f t="shared" si="17"/>
        <v>412.40073895125761</v>
      </c>
      <c r="M162" s="5">
        <f t="shared" si="18"/>
        <v>6.8733456491876268</v>
      </c>
      <c r="N162" t="s">
        <v>602</v>
      </c>
      <c r="O162">
        <f t="shared" si="19"/>
        <v>299.8</v>
      </c>
      <c r="P162">
        <f t="shared" si="20"/>
        <v>46.223936825351714</v>
      </c>
    </row>
    <row r="163" spans="1:16" ht="15.75" thickBot="1" x14ac:dyDescent="0.3">
      <c r="A163" t="str">
        <f t="shared" si="14"/>
        <v>GOOD</v>
      </c>
      <c r="B163" s="1">
        <v>1162</v>
      </c>
      <c r="C163" s="1">
        <v>116252</v>
      </c>
      <c r="D163" s="1">
        <v>5</v>
      </c>
      <c r="E163" s="1">
        <v>2</v>
      </c>
      <c r="F163" s="1" t="s">
        <v>262</v>
      </c>
      <c r="G163" s="1" t="s">
        <v>112</v>
      </c>
      <c r="H163" s="1">
        <v>15.5</v>
      </c>
      <c r="I163" s="1">
        <f t="shared" si="15"/>
        <v>1.6012396694214876E-3</v>
      </c>
      <c r="J163" s="2">
        <v>585.70000000000005</v>
      </c>
      <c r="K163" s="3">
        <f t="shared" si="16"/>
        <v>1.2900881057268723</v>
      </c>
      <c r="L163" s="5">
        <f t="shared" si="17"/>
        <v>805.68082989910476</v>
      </c>
      <c r="M163" s="5">
        <f t="shared" si="18"/>
        <v>13.428013831651747</v>
      </c>
      <c r="N163" t="s">
        <v>603</v>
      </c>
      <c r="O163">
        <f t="shared" si="19"/>
        <v>585.70000000000005</v>
      </c>
      <c r="P163">
        <f t="shared" si="20"/>
        <v>90.304735819241159</v>
      </c>
    </row>
    <row r="164" spans="1:16" ht="15.75" thickBot="1" x14ac:dyDescent="0.3">
      <c r="A164" t="str">
        <f t="shared" si="14"/>
        <v>GOOD</v>
      </c>
      <c r="B164" s="1">
        <v>1163</v>
      </c>
      <c r="C164" s="1">
        <v>116353</v>
      </c>
      <c r="D164" s="1">
        <v>5</v>
      </c>
      <c r="E164" s="1">
        <v>3</v>
      </c>
      <c r="F164" s="1" t="s">
        <v>263</v>
      </c>
      <c r="G164" s="1" t="s">
        <v>252</v>
      </c>
      <c r="H164" s="1">
        <v>15.5</v>
      </c>
      <c r="I164" s="1">
        <f t="shared" si="15"/>
        <v>1.6012396694214876E-3</v>
      </c>
      <c r="J164" s="2">
        <v>608.79999999999995</v>
      </c>
      <c r="K164" s="3">
        <f t="shared" si="16"/>
        <v>1.3409691629955947</v>
      </c>
      <c r="L164" s="5">
        <f t="shared" si="17"/>
        <v>837.45687082563586</v>
      </c>
      <c r="M164" s="5">
        <f t="shared" si="18"/>
        <v>13.957614513760598</v>
      </c>
      <c r="N164" t="s">
        <v>604</v>
      </c>
      <c r="O164">
        <f t="shared" si="19"/>
        <v>608.79999999999995</v>
      </c>
      <c r="P164">
        <f t="shared" si="20"/>
        <v>93.866353366491396</v>
      </c>
    </row>
    <row r="165" spans="1:16" ht="15.75" thickBot="1" x14ac:dyDescent="0.3">
      <c r="A165" t="str">
        <f t="shared" si="14"/>
        <v>GOOD</v>
      </c>
      <c r="B165" s="1">
        <v>1164</v>
      </c>
      <c r="C165" s="1">
        <v>116454</v>
      </c>
      <c r="D165" s="1">
        <v>5</v>
      </c>
      <c r="E165" s="1">
        <v>4</v>
      </c>
      <c r="F165" s="1" t="s">
        <v>264</v>
      </c>
      <c r="G165" s="1" t="s">
        <v>265</v>
      </c>
      <c r="H165" s="1">
        <v>15.5</v>
      </c>
      <c r="I165" s="1">
        <f t="shared" si="15"/>
        <v>1.6012396694214876E-3</v>
      </c>
      <c r="J165" s="2">
        <v>862.9</v>
      </c>
      <c r="K165" s="3">
        <f t="shared" si="16"/>
        <v>1.9006607929515418</v>
      </c>
      <c r="L165" s="5">
        <f t="shared" si="17"/>
        <v>1186.993321017479</v>
      </c>
      <c r="M165" s="5">
        <f t="shared" si="18"/>
        <v>19.783222016957986</v>
      </c>
      <c r="N165" t="s">
        <v>605</v>
      </c>
      <c r="O165">
        <f t="shared" si="19"/>
        <v>862.9</v>
      </c>
      <c r="P165">
        <f t="shared" si="20"/>
        <v>133.04414638624414</v>
      </c>
    </row>
    <row r="166" spans="1:16" ht="15.75" thickBot="1" x14ac:dyDescent="0.3">
      <c r="A166" t="str">
        <f t="shared" si="14"/>
        <v>GOOD</v>
      </c>
      <c r="B166" s="1">
        <v>1165</v>
      </c>
      <c r="C166" s="1">
        <v>116555</v>
      </c>
      <c r="D166" s="1">
        <v>5</v>
      </c>
      <c r="E166" s="1">
        <v>5</v>
      </c>
      <c r="F166" s="1" t="s">
        <v>104</v>
      </c>
      <c r="G166" s="1" t="s">
        <v>266</v>
      </c>
      <c r="H166" s="1">
        <v>15.5</v>
      </c>
      <c r="I166" s="1">
        <f t="shared" si="15"/>
        <v>1.6012396694214876E-3</v>
      </c>
      <c r="J166" s="2">
        <v>813.8</v>
      </c>
      <c r="K166" s="3">
        <f t="shared" si="16"/>
        <v>1.792511013215859</v>
      </c>
      <c r="L166" s="5">
        <f t="shared" si="17"/>
        <v>1119.4520392212592</v>
      </c>
      <c r="M166" s="5">
        <f t="shared" si="18"/>
        <v>18.657533987020987</v>
      </c>
      <c r="N166" t="s">
        <v>606</v>
      </c>
      <c r="O166">
        <f t="shared" si="19"/>
        <v>813.8</v>
      </c>
      <c r="P166">
        <f t="shared" si="20"/>
        <v>125.47378181611484</v>
      </c>
    </row>
    <row r="167" spans="1:16" ht="15.75" thickBot="1" x14ac:dyDescent="0.3">
      <c r="A167" t="str">
        <f t="shared" si="14"/>
        <v>GOOD</v>
      </c>
      <c r="B167" s="1">
        <v>1166</v>
      </c>
      <c r="C167" s="1">
        <v>116656</v>
      </c>
      <c r="D167" s="1">
        <v>5</v>
      </c>
      <c r="E167" s="1">
        <v>6</v>
      </c>
      <c r="F167" s="1" t="s">
        <v>119</v>
      </c>
      <c r="G167" s="1" t="s">
        <v>267</v>
      </c>
      <c r="H167" s="1">
        <v>15.5</v>
      </c>
      <c r="I167" s="1">
        <f t="shared" si="15"/>
        <v>1.6012396694214876E-3</v>
      </c>
      <c r="J167" s="2">
        <v>770.5</v>
      </c>
      <c r="K167" s="3">
        <f t="shared" si="16"/>
        <v>1.697136563876652</v>
      </c>
      <c r="L167" s="5">
        <f t="shared" si="17"/>
        <v>1059.8891573113542</v>
      </c>
      <c r="M167" s="5">
        <f t="shared" si="18"/>
        <v>17.664819288522569</v>
      </c>
      <c r="N167" t="s">
        <v>607</v>
      </c>
      <c r="O167">
        <f t="shared" si="19"/>
        <v>770.5</v>
      </c>
      <c r="P167">
        <f t="shared" si="20"/>
        <v>118.79767619724313</v>
      </c>
    </row>
    <row r="168" spans="1:16" ht="15.75" thickBot="1" x14ac:dyDescent="0.3">
      <c r="A168" t="str">
        <f t="shared" si="14"/>
        <v>GOOD</v>
      </c>
      <c r="B168" s="1">
        <v>1167</v>
      </c>
      <c r="C168" s="1">
        <v>116757</v>
      </c>
      <c r="D168" s="1">
        <v>5</v>
      </c>
      <c r="E168" s="1">
        <v>7</v>
      </c>
      <c r="F168" s="1" t="s">
        <v>159</v>
      </c>
      <c r="G168" s="1" t="s">
        <v>198</v>
      </c>
      <c r="H168" s="1">
        <v>15.5</v>
      </c>
      <c r="I168" s="1">
        <f t="shared" si="15"/>
        <v>1.6012396694214876E-3</v>
      </c>
      <c r="J168" s="2">
        <v>552.70000000000005</v>
      </c>
      <c r="K168" s="3">
        <f t="shared" si="16"/>
        <v>1.2174008810572687</v>
      </c>
      <c r="L168" s="5">
        <f t="shared" si="17"/>
        <v>760.28648571834594</v>
      </c>
      <c r="M168" s="5">
        <f t="shared" si="18"/>
        <v>12.671441428639099</v>
      </c>
      <c r="N168" t="s">
        <v>608</v>
      </c>
      <c r="O168">
        <f t="shared" si="19"/>
        <v>552.70000000000005</v>
      </c>
      <c r="P168">
        <f t="shared" si="20"/>
        <v>85.216710751740806</v>
      </c>
    </row>
    <row r="169" spans="1:16" ht="15.75" thickBot="1" x14ac:dyDescent="0.3">
      <c r="A169" t="str">
        <f t="shared" si="14"/>
        <v>GOOD</v>
      </c>
      <c r="B169" s="1">
        <v>1168</v>
      </c>
      <c r="C169" s="1">
        <v>116858</v>
      </c>
      <c r="D169" s="1">
        <v>5</v>
      </c>
      <c r="E169" s="1">
        <v>8</v>
      </c>
      <c r="F169" s="1" t="s">
        <v>268</v>
      </c>
      <c r="G169" s="1" t="s">
        <v>248</v>
      </c>
      <c r="H169" s="1">
        <v>15.5</v>
      </c>
      <c r="I169" s="1">
        <f t="shared" si="15"/>
        <v>1.6012396694214876E-3</v>
      </c>
      <c r="J169" s="2">
        <v>797.9</v>
      </c>
      <c r="K169" s="3">
        <f t="shared" si="16"/>
        <v>1.757488986784141</v>
      </c>
      <c r="L169" s="5">
        <f t="shared" si="17"/>
        <v>1097.5802188432572</v>
      </c>
      <c r="M169" s="5">
        <f t="shared" si="18"/>
        <v>18.293003647387618</v>
      </c>
      <c r="N169" t="s">
        <v>609</v>
      </c>
      <c r="O169">
        <f t="shared" si="19"/>
        <v>797.9</v>
      </c>
      <c r="P169">
        <f t="shared" si="20"/>
        <v>123.02227882904648</v>
      </c>
    </row>
    <row r="170" spans="1:16" ht="15.75" thickBot="1" x14ac:dyDescent="0.3">
      <c r="A170" t="str">
        <f t="shared" si="14"/>
        <v>GOOD</v>
      </c>
      <c r="B170" s="1">
        <v>1169</v>
      </c>
      <c r="C170" s="1">
        <v>116959</v>
      </c>
      <c r="D170" s="1">
        <v>5</v>
      </c>
      <c r="E170" s="1">
        <v>9</v>
      </c>
      <c r="F170" s="1" t="s">
        <v>159</v>
      </c>
      <c r="G170" s="1" t="s">
        <v>204</v>
      </c>
      <c r="H170" s="1">
        <v>15.5</v>
      </c>
      <c r="I170" s="1">
        <f t="shared" si="15"/>
        <v>1.6012396694214876E-3</v>
      </c>
      <c r="J170" s="2">
        <v>1084.2</v>
      </c>
      <c r="K170" s="3">
        <f t="shared" si="16"/>
        <v>2.3881057268722468</v>
      </c>
      <c r="L170" s="5">
        <f t="shared" si="17"/>
        <v>1491.4105442660225</v>
      </c>
      <c r="M170" s="5">
        <f t="shared" si="18"/>
        <v>24.85684240443371</v>
      </c>
      <c r="N170" t="s">
        <v>610</v>
      </c>
      <c r="O170">
        <f t="shared" si="19"/>
        <v>1084.2</v>
      </c>
      <c r="P170">
        <f t="shared" si="20"/>
        <v>167.16475085405713</v>
      </c>
    </row>
    <row r="171" spans="1:16" ht="15.75" thickBot="1" x14ac:dyDescent="0.3">
      <c r="A171" t="str">
        <f t="shared" si="14"/>
        <v>GOOD</v>
      </c>
      <c r="B171" s="1">
        <v>1170</v>
      </c>
      <c r="C171" s="1">
        <v>1170510</v>
      </c>
      <c r="D171" s="1">
        <v>5</v>
      </c>
      <c r="E171" s="1">
        <v>10</v>
      </c>
      <c r="F171" s="1" t="s">
        <v>269</v>
      </c>
      <c r="G171" s="1" t="s">
        <v>270</v>
      </c>
      <c r="H171" s="1">
        <v>15.5</v>
      </c>
      <c r="I171" s="1">
        <f t="shared" si="15"/>
        <v>1.6012396694214876E-3</v>
      </c>
      <c r="J171" s="2">
        <v>829.7</v>
      </c>
      <c r="K171" s="3">
        <f t="shared" si="16"/>
        <v>1.8275330396475773</v>
      </c>
      <c r="L171" s="5">
        <f t="shared" si="17"/>
        <v>1141.3238595992611</v>
      </c>
      <c r="M171" s="5">
        <f t="shared" si="18"/>
        <v>19.022064326654352</v>
      </c>
      <c r="N171" t="s">
        <v>611</v>
      </c>
      <c r="O171">
        <f t="shared" si="19"/>
        <v>829.7</v>
      </c>
      <c r="P171">
        <f t="shared" si="20"/>
        <v>127.92528480318319</v>
      </c>
    </row>
    <row r="172" spans="1:16" ht="15.75" thickBot="1" x14ac:dyDescent="0.3">
      <c r="A172" t="str">
        <f t="shared" si="14"/>
        <v>GOOD</v>
      </c>
      <c r="B172" s="1">
        <v>1171</v>
      </c>
      <c r="C172" s="1">
        <v>1171511</v>
      </c>
      <c r="D172" s="1">
        <v>5</v>
      </c>
      <c r="E172" s="1">
        <v>11</v>
      </c>
      <c r="F172" s="1" t="s">
        <v>271</v>
      </c>
      <c r="G172" s="1" t="s">
        <v>272</v>
      </c>
      <c r="H172" s="1">
        <v>15.5</v>
      </c>
      <c r="I172" s="1">
        <f t="shared" si="15"/>
        <v>1.6012396694214876E-3</v>
      </c>
      <c r="J172" s="2">
        <v>830.9</v>
      </c>
      <c r="K172" s="3">
        <f t="shared" si="16"/>
        <v>1.8301762114537445</v>
      </c>
      <c r="L172" s="5">
        <f t="shared" si="17"/>
        <v>1142.9745630240159</v>
      </c>
      <c r="M172" s="5">
        <f t="shared" si="18"/>
        <v>19.049576050400265</v>
      </c>
      <c r="N172" t="s">
        <v>612</v>
      </c>
      <c r="O172">
        <f t="shared" si="19"/>
        <v>830.9</v>
      </c>
      <c r="P172">
        <f t="shared" si="20"/>
        <v>128.11030389654684</v>
      </c>
    </row>
    <row r="173" spans="1:16" ht="15.75" thickBot="1" x14ac:dyDescent="0.3">
      <c r="A173" t="str">
        <f t="shared" si="14"/>
        <v>GOOD</v>
      </c>
      <c r="B173" s="1">
        <v>1172</v>
      </c>
      <c r="C173" s="1">
        <v>1172512</v>
      </c>
      <c r="D173" s="1">
        <v>5</v>
      </c>
      <c r="E173" s="1">
        <v>12</v>
      </c>
      <c r="F173" s="1" t="s">
        <v>273</v>
      </c>
      <c r="G173" s="1" t="s">
        <v>274</v>
      </c>
      <c r="H173" s="1">
        <v>15.5</v>
      </c>
      <c r="I173" s="1">
        <f t="shared" si="15"/>
        <v>1.6012396694214876E-3</v>
      </c>
      <c r="J173" s="2">
        <v>925.5</v>
      </c>
      <c r="K173" s="3">
        <f t="shared" si="16"/>
        <v>2.0385462555066081</v>
      </c>
      <c r="L173" s="5">
        <f t="shared" si="17"/>
        <v>1273.1050163421914</v>
      </c>
      <c r="M173" s="5">
        <f t="shared" si="18"/>
        <v>21.218416939036523</v>
      </c>
      <c r="N173" t="s">
        <v>613</v>
      </c>
      <c r="O173">
        <f t="shared" si="19"/>
        <v>925.5</v>
      </c>
      <c r="P173">
        <f t="shared" si="20"/>
        <v>142.69597575671455</v>
      </c>
    </row>
    <row r="174" spans="1:16" ht="15.75" thickBot="1" x14ac:dyDescent="0.3">
      <c r="A174" t="str">
        <f t="shared" si="14"/>
        <v>GOOD</v>
      </c>
      <c r="B174" s="1">
        <v>1173</v>
      </c>
      <c r="C174" s="1">
        <v>1173513</v>
      </c>
      <c r="D174" s="1">
        <v>5</v>
      </c>
      <c r="E174" s="1">
        <v>13</v>
      </c>
      <c r="F174" s="1" t="s">
        <v>275</v>
      </c>
      <c r="G174" s="1" t="s">
        <v>259</v>
      </c>
      <c r="H174" s="1">
        <v>15.5</v>
      </c>
      <c r="I174" s="1">
        <f t="shared" si="15"/>
        <v>1.6012396694214876E-3</v>
      </c>
      <c r="J174" s="2">
        <v>857.5</v>
      </c>
      <c r="K174" s="3">
        <f t="shared" si="16"/>
        <v>1.8887665198237886</v>
      </c>
      <c r="L174" s="5">
        <f t="shared" si="17"/>
        <v>1179.5651556060823</v>
      </c>
      <c r="M174" s="5">
        <f t="shared" si="18"/>
        <v>19.65941926010137</v>
      </c>
      <c r="N174" t="s">
        <v>614</v>
      </c>
      <c r="O174">
        <f t="shared" si="19"/>
        <v>857.5</v>
      </c>
      <c r="P174">
        <f t="shared" si="20"/>
        <v>132.21156046610773</v>
      </c>
    </row>
    <row r="175" spans="1:16" ht="15.75" thickBot="1" x14ac:dyDescent="0.3">
      <c r="A175" t="str">
        <f t="shared" si="14"/>
        <v>GOOD</v>
      </c>
      <c r="B175" s="1">
        <v>1174</v>
      </c>
      <c r="C175" s="1">
        <v>1174514</v>
      </c>
      <c r="D175" s="1">
        <v>5</v>
      </c>
      <c r="E175" s="1">
        <v>14</v>
      </c>
      <c r="F175" s="1" t="s">
        <v>276</v>
      </c>
      <c r="G175" s="1" t="s">
        <v>277</v>
      </c>
      <c r="H175" s="1">
        <v>15.5</v>
      </c>
      <c r="I175" s="1">
        <f t="shared" si="15"/>
        <v>1.6012396694214876E-3</v>
      </c>
      <c r="J175" s="2">
        <v>692.6</v>
      </c>
      <c r="K175" s="3">
        <f t="shared" si="16"/>
        <v>1.5255506607929517</v>
      </c>
      <c r="L175" s="5">
        <f t="shared" si="17"/>
        <v>952.73099332101754</v>
      </c>
      <c r="M175" s="5">
        <f t="shared" si="18"/>
        <v>15.878849888683625</v>
      </c>
      <c r="N175" t="s">
        <v>615</v>
      </c>
      <c r="O175">
        <f t="shared" si="19"/>
        <v>692.6</v>
      </c>
      <c r="P175">
        <f t="shared" si="20"/>
        <v>106.78685338638626</v>
      </c>
    </row>
    <row r="176" spans="1:16" ht="15.75" thickBot="1" x14ac:dyDescent="0.3">
      <c r="A176" t="str">
        <f t="shared" si="14"/>
        <v>GOOD</v>
      </c>
      <c r="B176" s="1">
        <v>1175</v>
      </c>
      <c r="C176" s="1">
        <v>1175515</v>
      </c>
      <c r="D176" s="1">
        <v>5</v>
      </c>
      <c r="E176" s="1">
        <v>15</v>
      </c>
      <c r="F176" s="1" t="s">
        <v>55</v>
      </c>
      <c r="G176" s="1" t="s">
        <v>267</v>
      </c>
      <c r="H176" s="1">
        <v>15.5</v>
      </c>
      <c r="I176" s="1">
        <f t="shared" si="15"/>
        <v>1.6012396694214876E-3</v>
      </c>
      <c r="J176" s="2">
        <v>705</v>
      </c>
      <c r="K176" s="3">
        <f t="shared" si="16"/>
        <v>1.552863436123348</v>
      </c>
      <c r="L176" s="5">
        <f t="shared" si="17"/>
        <v>969.78826204348445</v>
      </c>
      <c r="M176" s="5">
        <f t="shared" si="18"/>
        <v>16.163137700724739</v>
      </c>
      <c r="N176" t="s">
        <v>616</v>
      </c>
      <c r="O176">
        <f t="shared" si="19"/>
        <v>705</v>
      </c>
      <c r="P176">
        <f t="shared" si="20"/>
        <v>108.69871735114396</v>
      </c>
    </row>
    <row r="177" spans="1:16" ht="15.75" thickBot="1" x14ac:dyDescent="0.3">
      <c r="A177" t="str">
        <f t="shared" si="14"/>
        <v>GOOD</v>
      </c>
      <c r="B177" s="1">
        <v>1176</v>
      </c>
      <c r="C177" s="1">
        <v>1176516</v>
      </c>
      <c r="D177" s="1">
        <v>5</v>
      </c>
      <c r="E177" s="1">
        <v>16</v>
      </c>
      <c r="F177" s="1" t="s">
        <v>201</v>
      </c>
      <c r="G177" s="1" t="s">
        <v>278</v>
      </c>
      <c r="H177" s="1">
        <v>15.5</v>
      </c>
      <c r="I177" s="1">
        <f t="shared" si="15"/>
        <v>1.6012396694214876E-3</v>
      </c>
      <c r="J177" s="2">
        <v>823.3</v>
      </c>
      <c r="K177" s="3">
        <f t="shared" si="16"/>
        <v>1.8134361233480176</v>
      </c>
      <c r="L177" s="5">
        <f t="shared" si="17"/>
        <v>1132.5201080005684</v>
      </c>
      <c r="M177" s="5">
        <f t="shared" si="18"/>
        <v>18.875335133342805</v>
      </c>
      <c r="N177" t="s">
        <v>617</v>
      </c>
      <c r="O177">
        <f t="shared" si="19"/>
        <v>823.3</v>
      </c>
      <c r="P177">
        <f t="shared" si="20"/>
        <v>126.93851630524371</v>
      </c>
    </row>
    <row r="178" spans="1:16" ht="15.75" thickBot="1" x14ac:dyDescent="0.3">
      <c r="A178" t="str">
        <f t="shared" si="14"/>
        <v>GOOD</v>
      </c>
      <c r="B178" s="1">
        <v>1177</v>
      </c>
      <c r="C178" s="1">
        <v>1177517</v>
      </c>
      <c r="D178" s="1">
        <v>5</v>
      </c>
      <c r="E178" s="1">
        <v>17</v>
      </c>
      <c r="F178" s="1" t="s">
        <v>220</v>
      </c>
      <c r="G178" s="1" t="s">
        <v>279</v>
      </c>
      <c r="H178" s="1">
        <v>15.5</v>
      </c>
      <c r="I178" s="1">
        <f t="shared" si="15"/>
        <v>1.6012396694214876E-3</v>
      </c>
      <c r="J178" s="2">
        <v>962.7</v>
      </c>
      <c r="K178" s="3">
        <f t="shared" si="16"/>
        <v>2.1204845814977973</v>
      </c>
      <c r="L178" s="5">
        <f t="shared" si="17"/>
        <v>1324.2768225095922</v>
      </c>
      <c r="M178" s="5">
        <f t="shared" si="18"/>
        <v>22.071280375159869</v>
      </c>
      <c r="N178" t="s">
        <v>618</v>
      </c>
      <c r="O178">
        <f t="shared" si="19"/>
        <v>962.7</v>
      </c>
      <c r="P178">
        <f t="shared" si="20"/>
        <v>148.43156765098766</v>
      </c>
    </row>
    <row r="179" spans="1:16" ht="15.75" thickBot="1" x14ac:dyDescent="0.3">
      <c r="A179" t="str">
        <f t="shared" si="14"/>
        <v>GOOD</v>
      </c>
      <c r="B179" s="1">
        <v>1178</v>
      </c>
      <c r="C179" s="1">
        <v>1178518</v>
      </c>
      <c r="D179" s="1">
        <v>5</v>
      </c>
      <c r="E179" s="1">
        <v>18</v>
      </c>
      <c r="F179" s="1" t="s">
        <v>205</v>
      </c>
      <c r="G179" s="1" t="s">
        <v>254</v>
      </c>
      <c r="H179" s="1">
        <v>15.5</v>
      </c>
      <c r="I179" s="1">
        <f t="shared" si="15"/>
        <v>1.6012396694214876E-3</v>
      </c>
      <c r="J179" s="2">
        <v>1144.9000000000001</v>
      </c>
      <c r="K179" s="3">
        <f t="shared" si="16"/>
        <v>2.5218061674008814</v>
      </c>
      <c r="L179" s="5">
        <f t="shared" si="17"/>
        <v>1574.908625834873</v>
      </c>
      <c r="M179" s="5">
        <f t="shared" si="18"/>
        <v>26.248477097247882</v>
      </c>
      <c r="N179" t="s">
        <v>619</v>
      </c>
      <c r="O179">
        <f t="shared" si="19"/>
        <v>1144.9000000000001</v>
      </c>
      <c r="P179">
        <f t="shared" si="20"/>
        <v>176.52363332670174</v>
      </c>
    </row>
    <row r="180" spans="1:16" ht="15.75" thickBot="1" x14ac:dyDescent="0.3">
      <c r="A180" t="str">
        <f t="shared" si="14"/>
        <v>GOOD</v>
      </c>
      <c r="B180" s="1">
        <v>1179</v>
      </c>
      <c r="C180" s="1">
        <v>1179519</v>
      </c>
      <c r="D180" s="1">
        <v>5</v>
      </c>
      <c r="E180" s="1">
        <v>19</v>
      </c>
      <c r="F180" s="1" t="s">
        <v>280</v>
      </c>
      <c r="G180" s="1" t="s">
        <v>281</v>
      </c>
      <c r="H180" s="1">
        <v>15.5</v>
      </c>
      <c r="I180" s="1">
        <f t="shared" si="15"/>
        <v>1.6012396694214876E-3</v>
      </c>
      <c r="J180" s="2">
        <v>709.9</v>
      </c>
      <c r="K180" s="3">
        <f t="shared" si="16"/>
        <v>1.5636563876651981</v>
      </c>
      <c r="L180" s="5">
        <f t="shared" si="17"/>
        <v>976.52863436123334</v>
      </c>
      <c r="M180" s="5">
        <f t="shared" si="18"/>
        <v>16.27547723935389</v>
      </c>
      <c r="N180" t="s">
        <v>620</v>
      </c>
      <c r="O180">
        <f t="shared" si="19"/>
        <v>709.9</v>
      </c>
      <c r="P180">
        <f t="shared" si="20"/>
        <v>109.45421198237884</v>
      </c>
    </row>
    <row r="181" spans="1:16" ht="15.75" thickBot="1" x14ac:dyDescent="0.3">
      <c r="A181" t="str">
        <f t="shared" si="14"/>
        <v>GOOD</v>
      </c>
      <c r="B181" s="1">
        <v>1180</v>
      </c>
      <c r="C181" s="1">
        <v>1180520</v>
      </c>
      <c r="D181" s="1">
        <v>5</v>
      </c>
      <c r="E181" s="1">
        <v>20</v>
      </c>
      <c r="F181" s="1" t="s">
        <v>74</v>
      </c>
      <c r="G181" s="1" t="s">
        <v>24</v>
      </c>
      <c r="H181" s="1">
        <v>15.5</v>
      </c>
      <c r="I181" s="1">
        <f t="shared" si="15"/>
        <v>1.6012396694214876E-3</v>
      </c>
      <c r="J181" s="2">
        <v>818.9</v>
      </c>
      <c r="K181" s="3">
        <f t="shared" si="16"/>
        <v>1.8037444933920703</v>
      </c>
      <c r="L181" s="5">
        <f t="shared" si="17"/>
        <v>1126.4675287764671</v>
      </c>
      <c r="M181" s="5">
        <f t="shared" si="18"/>
        <v>18.77445881294112</v>
      </c>
      <c r="N181" t="s">
        <v>621</v>
      </c>
      <c r="O181">
        <f t="shared" si="19"/>
        <v>818.9</v>
      </c>
      <c r="P181">
        <f t="shared" si="20"/>
        <v>126.26011296291033</v>
      </c>
    </row>
    <row r="182" spans="1:16" ht="15.75" thickBot="1" x14ac:dyDescent="0.3">
      <c r="A182" t="str">
        <f t="shared" si="14"/>
        <v>GOOD</v>
      </c>
      <c r="B182" s="1">
        <v>1181</v>
      </c>
      <c r="C182" s="1">
        <v>1181521</v>
      </c>
      <c r="D182" s="1">
        <v>5</v>
      </c>
      <c r="E182" s="1">
        <v>21</v>
      </c>
      <c r="F182" s="1" t="s">
        <v>138</v>
      </c>
      <c r="G182" s="1" t="s">
        <v>87</v>
      </c>
      <c r="H182" s="1">
        <v>15.5</v>
      </c>
      <c r="I182" s="1">
        <f t="shared" si="15"/>
        <v>1.6012396694214876E-3</v>
      </c>
      <c r="J182" s="2">
        <v>795.6</v>
      </c>
      <c r="K182" s="3">
        <f t="shared" si="16"/>
        <v>1.7524229074889868</v>
      </c>
      <c r="L182" s="5">
        <f t="shared" si="17"/>
        <v>1094.4163706124768</v>
      </c>
      <c r="M182" s="5">
        <f t="shared" si="18"/>
        <v>18.24027284354128</v>
      </c>
      <c r="N182" t="s">
        <v>622</v>
      </c>
      <c r="O182">
        <f t="shared" si="19"/>
        <v>795.6</v>
      </c>
      <c r="P182">
        <f t="shared" si="20"/>
        <v>122.66765890009947</v>
      </c>
    </row>
    <row r="183" spans="1:16" ht="15.75" thickBot="1" x14ac:dyDescent="0.3">
      <c r="A183" t="str">
        <f t="shared" si="14"/>
        <v>GOOD</v>
      </c>
      <c r="B183" s="1">
        <v>1182</v>
      </c>
      <c r="C183" s="1">
        <v>1182522</v>
      </c>
      <c r="D183" s="1">
        <v>5</v>
      </c>
      <c r="E183" s="1">
        <v>22</v>
      </c>
      <c r="F183" s="1" t="s">
        <v>282</v>
      </c>
      <c r="G183" s="1" t="s">
        <v>267</v>
      </c>
      <c r="H183" s="1">
        <v>15.5</v>
      </c>
      <c r="I183" s="1">
        <f t="shared" si="15"/>
        <v>1.6012396694214876E-3</v>
      </c>
      <c r="J183" s="2">
        <v>783.9</v>
      </c>
      <c r="K183" s="3">
        <f t="shared" si="16"/>
        <v>1.7266519823788546</v>
      </c>
      <c r="L183" s="5">
        <f t="shared" si="17"/>
        <v>1078.3220122211169</v>
      </c>
      <c r="M183" s="5">
        <f t="shared" si="18"/>
        <v>17.972033537018614</v>
      </c>
      <c r="N183" t="s">
        <v>623</v>
      </c>
      <c r="O183">
        <f t="shared" si="19"/>
        <v>783.9</v>
      </c>
      <c r="P183">
        <f t="shared" si="20"/>
        <v>120.86372273980389</v>
      </c>
    </row>
    <row r="184" spans="1:16" ht="15.75" thickBot="1" x14ac:dyDescent="0.3">
      <c r="A184" t="str">
        <f t="shared" si="14"/>
        <v>GOOD</v>
      </c>
      <c r="B184" s="1">
        <v>1183</v>
      </c>
      <c r="C184" s="1">
        <v>1183523</v>
      </c>
      <c r="D184" s="1">
        <v>5</v>
      </c>
      <c r="E184" s="1">
        <v>23</v>
      </c>
      <c r="F184" s="1" t="s">
        <v>168</v>
      </c>
      <c r="G184" s="1" t="s">
        <v>180</v>
      </c>
      <c r="H184" s="1">
        <v>15.5</v>
      </c>
      <c r="I184" s="1">
        <f t="shared" si="15"/>
        <v>1.6012396694214876E-3</v>
      </c>
      <c r="J184" s="2">
        <v>929.9</v>
      </c>
      <c r="K184" s="3">
        <f t="shared" si="16"/>
        <v>2.0482378854625551</v>
      </c>
      <c r="L184" s="5">
        <f t="shared" si="17"/>
        <v>1279.1575955662925</v>
      </c>
      <c r="M184" s="5">
        <f t="shared" si="18"/>
        <v>21.319293259438208</v>
      </c>
      <c r="N184" t="s">
        <v>624</v>
      </c>
      <c r="O184">
        <f t="shared" si="19"/>
        <v>929.9</v>
      </c>
      <c r="P184">
        <f t="shared" si="20"/>
        <v>143.3743790990479</v>
      </c>
    </row>
    <row r="185" spans="1:16" ht="15.75" thickBot="1" x14ac:dyDescent="0.3">
      <c r="A185" t="str">
        <f t="shared" si="14"/>
        <v>GOOD</v>
      </c>
      <c r="B185" s="1">
        <v>1184</v>
      </c>
      <c r="C185" s="1">
        <v>1184524</v>
      </c>
      <c r="D185" s="1">
        <v>5</v>
      </c>
      <c r="E185" s="1">
        <v>24</v>
      </c>
      <c r="F185" s="1" t="s">
        <v>283</v>
      </c>
      <c r="G185" s="1" t="s">
        <v>284</v>
      </c>
      <c r="H185" s="1">
        <v>15.5</v>
      </c>
      <c r="I185" s="1">
        <f t="shared" si="15"/>
        <v>1.6012396694214876E-3</v>
      </c>
      <c r="J185" s="2">
        <v>927</v>
      </c>
      <c r="K185" s="3">
        <f t="shared" si="16"/>
        <v>2.0418502202643172</v>
      </c>
      <c r="L185" s="5">
        <f t="shared" si="17"/>
        <v>1275.1683956231348</v>
      </c>
      <c r="M185" s="5">
        <f t="shared" si="18"/>
        <v>21.252806593718912</v>
      </c>
      <c r="N185" t="s">
        <v>625</v>
      </c>
      <c r="O185">
        <f t="shared" si="19"/>
        <v>927</v>
      </c>
      <c r="P185">
        <f t="shared" si="20"/>
        <v>142.92724962341907</v>
      </c>
    </row>
    <row r="186" spans="1:16" ht="15.75" thickBot="1" x14ac:dyDescent="0.3">
      <c r="A186" t="str">
        <f t="shared" si="14"/>
        <v>GOOD</v>
      </c>
      <c r="B186" s="1">
        <v>1185</v>
      </c>
      <c r="C186" s="1">
        <v>1185525</v>
      </c>
      <c r="D186" s="1">
        <v>5</v>
      </c>
      <c r="E186" s="1">
        <v>25</v>
      </c>
      <c r="F186" s="1" t="s">
        <v>285</v>
      </c>
      <c r="G186" s="1" t="s">
        <v>286</v>
      </c>
      <c r="H186" s="1">
        <v>15.5</v>
      </c>
      <c r="I186" s="1">
        <f t="shared" si="15"/>
        <v>1.6012396694214876E-3</v>
      </c>
      <c r="J186" s="2">
        <v>1183.5</v>
      </c>
      <c r="K186" s="3">
        <f t="shared" si="16"/>
        <v>2.606828193832599</v>
      </c>
      <c r="L186" s="5">
        <f t="shared" si="17"/>
        <v>1628.0062526644876</v>
      </c>
      <c r="M186" s="5">
        <f t="shared" si="18"/>
        <v>27.133437544408128</v>
      </c>
      <c r="N186" t="s">
        <v>626</v>
      </c>
      <c r="O186">
        <f t="shared" si="19"/>
        <v>1183.5</v>
      </c>
      <c r="P186">
        <f t="shared" si="20"/>
        <v>182.4750808298991</v>
      </c>
    </row>
    <row r="187" spans="1:16" ht="15.75" thickBot="1" x14ac:dyDescent="0.3">
      <c r="A187" t="str">
        <f t="shared" si="14"/>
        <v>GOOD</v>
      </c>
      <c r="B187" s="1">
        <v>1186</v>
      </c>
      <c r="C187" s="1">
        <v>1186526</v>
      </c>
      <c r="D187" s="1">
        <v>5</v>
      </c>
      <c r="E187" s="1">
        <v>26</v>
      </c>
      <c r="F187" s="1" t="s">
        <v>287</v>
      </c>
      <c r="G187" s="1" t="s">
        <v>288</v>
      </c>
      <c r="H187" s="1">
        <v>15.5</v>
      </c>
      <c r="I187" s="1">
        <f t="shared" si="15"/>
        <v>1.6012396694214876E-3</v>
      </c>
      <c r="J187" s="2">
        <v>965</v>
      </c>
      <c r="K187" s="3">
        <f t="shared" si="16"/>
        <v>2.1255506607929515</v>
      </c>
      <c r="L187" s="5">
        <f t="shared" si="17"/>
        <v>1327.4406707403723</v>
      </c>
      <c r="M187" s="5">
        <f t="shared" si="18"/>
        <v>22.124011179006207</v>
      </c>
      <c r="N187" t="s">
        <v>627</v>
      </c>
      <c r="O187">
        <f t="shared" si="19"/>
        <v>965</v>
      </c>
      <c r="P187">
        <f t="shared" si="20"/>
        <v>148.78618757993465</v>
      </c>
    </row>
    <row r="188" spans="1:16" ht="15.75" thickBot="1" x14ac:dyDescent="0.3">
      <c r="A188" t="str">
        <f t="shared" si="14"/>
        <v>GOOD</v>
      </c>
      <c r="B188" s="1">
        <v>1187</v>
      </c>
      <c r="C188" s="1">
        <v>1187527</v>
      </c>
      <c r="D188" s="1">
        <v>5</v>
      </c>
      <c r="E188" s="1">
        <v>27</v>
      </c>
      <c r="F188" s="1" t="s">
        <v>289</v>
      </c>
      <c r="G188" s="1" t="s">
        <v>37</v>
      </c>
      <c r="H188" s="1">
        <v>15.5</v>
      </c>
      <c r="I188" s="1">
        <f t="shared" si="15"/>
        <v>1.6012396694214876E-3</v>
      </c>
      <c r="J188" s="2">
        <v>778.2</v>
      </c>
      <c r="K188" s="3">
        <f t="shared" si="16"/>
        <v>1.7140969162995596</v>
      </c>
      <c r="L188" s="5">
        <f t="shared" si="17"/>
        <v>1070.4811709535313</v>
      </c>
      <c r="M188" s="5">
        <f t="shared" si="18"/>
        <v>17.841352849225522</v>
      </c>
      <c r="N188" t="s">
        <v>628</v>
      </c>
      <c r="O188">
        <f t="shared" si="19"/>
        <v>778.2</v>
      </c>
      <c r="P188">
        <f t="shared" si="20"/>
        <v>119.98488204632656</v>
      </c>
    </row>
    <row r="189" spans="1:16" ht="15.75" thickBot="1" x14ac:dyDescent="0.3">
      <c r="A189" t="str">
        <f t="shared" si="14"/>
        <v>GOOD</v>
      </c>
      <c r="B189" s="1">
        <v>1188</v>
      </c>
      <c r="C189" s="1">
        <v>1188528</v>
      </c>
      <c r="D189" s="1">
        <v>5</v>
      </c>
      <c r="E189" s="1">
        <v>28</v>
      </c>
      <c r="F189" s="1" t="s">
        <v>157</v>
      </c>
      <c r="G189" s="1" t="s">
        <v>290</v>
      </c>
      <c r="H189" s="1">
        <v>15.5</v>
      </c>
      <c r="I189" s="1">
        <f t="shared" si="15"/>
        <v>1.6012396694214876E-3</v>
      </c>
      <c r="J189" s="2">
        <v>821.4</v>
      </c>
      <c r="K189" s="3">
        <f t="shared" si="16"/>
        <v>1.809251101321586</v>
      </c>
      <c r="L189" s="5">
        <f t="shared" si="17"/>
        <v>1129.9064942447067</v>
      </c>
      <c r="M189" s="5">
        <f t="shared" si="18"/>
        <v>18.831774904078443</v>
      </c>
      <c r="N189" t="s">
        <v>629</v>
      </c>
      <c r="O189">
        <f t="shared" si="19"/>
        <v>821.4</v>
      </c>
      <c r="P189">
        <f t="shared" si="20"/>
        <v>126.64556940741795</v>
      </c>
    </row>
    <row r="190" spans="1:16" ht="15.75" thickBot="1" x14ac:dyDescent="0.3">
      <c r="A190" t="str">
        <f t="shared" si="14"/>
        <v>GOOD</v>
      </c>
      <c r="B190" s="1">
        <v>1189</v>
      </c>
      <c r="C190" s="1">
        <v>1189529</v>
      </c>
      <c r="D190" s="1">
        <v>5</v>
      </c>
      <c r="E190" s="1">
        <v>29</v>
      </c>
      <c r="F190" s="1" t="s">
        <v>291</v>
      </c>
      <c r="G190" s="1" t="s">
        <v>292</v>
      </c>
      <c r="H190" s="1">
        <v>15.5</v>
      </c>
      <c r="I190" s="1">
        <f t="shared" si="15"/>
        <v>1.6012396694214876E-3</v>
      </c>
      <c r="J190" s="2">
        <v>859.2</v>
      </c>
      <c r="K190" s="3">
        <f t="shared" si="16"/>
        <v>1.8925110132158591</v>
      </c>
      <c r="L190" s="5">
        <f t="shared" si="17"/>
        <v>1181.903652124485</v>
      </c>
      <c r="M190" s="5">
        <f t="shared" si="18"/>
        <v>19.698394202074748</v>
      </c>
      <c r="N190" t="s">
        <v>630</v>
      </c>
      <c r="O190">
        <f t="shared" si="19"/>
        <v>859.2</v>
      </c>
      <c r="P190">
        <f t="shared" si="20"/>
        <v>132.4736708483729</v>
      </c>
    </row>
    <row r="191" spans="1:16" ht="15.75" thickBot="1" x14ac:dyDescent="0.3">
      <c r="A191" t="str">
        <f t="shared" si="14"/>
        <v>GOOD</v>
      </c>
      <c r="B191" s="1">
        <v>1190</v>
      </c>
      <c r="C191" s="1">
        <v>1190530</v>
      </c>
      <c r="D191" s="1">
        <v>5</v>
      </c>
      <c r="E191" s="1">
        <v>30</v>
      </c>
      <c r="F191" s="1" t="s">
        <v>210</v>
      </c>
      <c r="G191" s="1" t="s">
        <v>293</v>
      </c>
      <c r="H191" s="1">
        <v>15.5</v>
      </c>
      <c r="I191" s="1">
        <f t="shared" si="15"/>
        <v>1.6012396694214876E-3</v>
      </c>
      <c r="J191" s="2">
        <v>1004</v>
      </c>
      <c r="K191" s="3">
        <f t="shared" si="16"/>
        <v>2.2114537444933919</v>
      </c>
      <c r="L191" s="5">
        <f t="shared" si="17"/>
        <v>1381.0885320449054</v>
      </c>
      <c r="M191" s="5">
        <f t="shared" si="18"/>
        <v>23.018142200748422</v>
      </c>
      <c r="N191" t="s">
        <v>631</v>
      </c>
      <c r="O191">
        <f t="shared" si="19"/>
        <v>1004</v>
      </c>
      <c r="P191">
        <f t="shared" si="20"/>
        <v>154.79930811425322</v>
      </c>
    </row>
    <row r="192" spans="1:16" ht="15.75" thickBot="1" x14ac:dyDescent="0.3">
      <c r="A192" t="str">
        <f t="shared" si="14"/>
        <v>GOOD</v>
      </c>
      <c r="B192" s="1">
        <v>1191</v>
      </c>
      <c r="C192" s="1">
        <v>1191531</v>
      </c>
      <c r="D192" s="1">
        <v>5</v>
      </c>
      <c r="E192" s="1">
        <v>31</v>
      </c>
      <c r="F192" s="1" t="s">
        <v>43</v>
      </c>
      <c r="G192" s="1" t="s">
        <v>199</v>
      </c>
      <c r="H192" s="1">
        <v>15.5</v>
      </c>
      <c r="I192" s="1">
        <f t="shared" si="15"/>
        <v>1.6012396694214876E-3</v>
      </c>
      <c r="J192" s="2">
        <v>960.9</v>
      </c>
      <c r="K192" s="3">
        <f t="shared" si="16"/>
        <v>2.1165198237885461</v>
      </c>
      <c r="L192" s="5">
        <f t="shared" si="17"/>
        <v>1321.8007673724599</v>
      </c>
      <c r="M192" s="5">
        <f t="shared" si="18"/>
        <v>22.030012789540997</v>
      </c>
      <c r="N192" t="s">
        <v>632</v>
      </c>
      <c r="O192">
        <f t="shared" si="19"/>
        <v>960.9</v>
      </c>
      <c r="P192">
        <f t="shared" si="20"/>
        <v>148.15403901094217</v>
      </c>
    </row>
    <row r="193" spans="1:16" ht="15.75" thickBot="1" x14ac:dyDescent="0.3">
      <c r="A193" t="str">
        <f t="shared" si="14"/>
        <v>GOOD</v>
      </c>
      <c r="B193" s="1">
        <v>1192</v>
      </c>
      <c r="C193" s="1">
        <v>1192532</v>
      </c>
      <c r="D193" s="1">
        <v>5</v>
      </c>
      <c r="E193" s="1">
        <v>32</v>
      </c>
      <c r="F193" s="1" t="s">
        <v>294</v>
      </c>
      <c r="G193" s="1" t="s">
        <v>292</v>
      </c>
      <c r="H193" s="1">
        <v>15.5</v>
      </c>
      <c r="I193" s="1">
        <f t="shared" si="15"/>
        <v>1.6012396694214876E-3</v>
      </c>
      <c r="J193" s="2">
        <v>725.5</v>
      </c>
      <c r="K193" s="3">
        <f t="shared" si="16"/>
        <v>1.5980176211453745</v>
      </c>
      <c r="L193" s="5">
        <f t="shared" si="17"/>
        <v>997.98777888304676</v>
      </c>
      <c r="M193" s="5">
        <f t="shared" si="18"/>
        <v>16.63312964805078</v>
      </c>
      <c r="N193" t="s">
        <v>633</v>
      </c>
      <c r="O193">
        <f t="shared" si="19"/>
        <v>725.5</v>
      </c>
      <c r="P193">
        <f t="shared" si="20"/>
        <v>111.8594601961063</v>
      </c>
    </row>
    <row r="194" spans="1:16" ht="15.75" thickBot="1" x14ac:dyDescent="0.3">
      <c r="A194" t="str">
        <f t="shared" si="14"/>
        <v>GOOD</v>
      </c>
      <c r="B194" s="1">
        <v>1193</v>
      </c>
      <c r="C194" s="1">
        <v>1193533</v>
      </c>
      <c r="D194" s="1">
        <v>5</v>
      </c>
      <c r="E194" s="1">
        <v>33</v>
      </c>
      <c r="F194" s="1" t="s">
        <v>38</v>
      </c>
      <c r="G194" s="1" t="s">
        <v>75</v>
      </c>
      <c r="H194" s="1">
        <v>15.5</v>
      </c>
      <c r="I194" s="1">
        <f t="shared" si="15"/>
        <v>1.6012396694214876E-3</v>
      </c>
      <c r="J194" s="2">
        <v>775.7</v>
      </c>
      <c r="K194" s="3">
        <f t="shared" si="16"/>
        <v>1.7085903083700442</v>
      </c>
      <c r="L194" s="5">
        <f t="shared" si="17"/>
        <v>1067.0422054852922</v>
      </c>
      <c r="M194" s="5">
        <f t="shared" si="18"/>
        <v>17.784036758088202</v>
      </c>
      <c r="N194" t="s">
        <v>634</v>
      </c>
      <c r="O194">
        <f t="shared" si="19"/>
        <v>775.7</v>
      </c>
      <c r="P194">
        <f t="shared" si="20"/>
        <v>119.59942560181898</v>
      </c>
    </row>
    <row r="195" spans="1:16" ht="15.75" thickBot="1" x14ac:dyDescent="0.3">
      <c r="A195" t="str">
        <f t="shared" ref="A195:A258" si="21">IF((B195+3000)=VALUE(RIGHT(N195,4)),"GOOD","ERROR")</f>
        <v>GOOD</v>
      </c>
      <c r="B195" s="1">
        <v>1194</v>
      </c>
      <c r="C195" s="1">
        <v>1194534</v>
      </c>
      <c r="D195" s="1">
        <v>5</v>
      </c>
      <c r="E195" s="1">
        <v>34</v>
      </c>
      <c r="F195" s="1" t="s">
        <v>149</v>
      </c>
      <c r="G195" s="1" t="s">
        <v>225</v>
      </c>
      <c r="H195" s="1">
        <v>15.5</v>
      </c>
      <c r="I195" s="1">
        <f t="shared" ref="I195:I258" si="22">H195*4.5/43560</f>
        <v>1.6012396694214876E-3</v>
      </c>
      <c r="J195" s="2">
        <v>705.5</v>
      </c>
      <c r="K195" s="3">
        <f t="shared" ref="K195:K258" si="23">J195/454</f>
        <v>1.553964757709251</v>
      </c>
      <c r="L195" s="5">
        <f t="shared" ref="L195:L258" si="24">K195/I195</f>
        <v>970.47605513713222</v>
      </c>
      <c r="M195" s="5">
        <f t="shared" ref="M195:M258" si="25">L195/60</f>
        <v>16.174600918952205</v>
      </c>
      <c r="N195" t="s">
        <v>635</v>
      </c>
      <c r="O195">
        <f t="shared" ref="O195:O258" si="26">J195</f>
        <v>705.5</v>
      </c>
      <c r="P195">
        <f t="shared" ref="P195:P258" si="27">L195*0.112085</f>
        <v>108.77580864004547</v>
      </c>
    </row>
    <row r="196" spans="1:16" ht="15.75" thickBot="1" x14ac:dyDescent="0.3">
      <c r="A196" t="str">
        <f t="shared" si="21"/>
        <v>GOOD</v>
      </c>
      <c r="B196" s="1">
        <v>1195</v>
      </c>
      <c r="C196" s="1">
        <v>1195535</v>
      </c>
      <c r="D196" s="1">
        <v>5</v>
      </c>
      <c r="E196" s="1">
        <v>35</v>
      </c>
      <c r="F196" s="1" t="s">
        <v>261</v>
      </c>
      <c r="G196" s="1" t="s">
        <v>295</v>
      </c>
      <c r="H196" s="1">
        <v>15.5</v>
      </c>
      <c r="I196" s="1">
        <f t="shared" si="22"/>
        <v>1.6012396694214876E-3</v>
      </c>
      <c r="J196" s="2">
        <v>997.8</v>
      </c>
      <c r="K196" s="3">
        <f t="shared" si="23"/>
        <v>2.1977973568281937</v>
      </c>
      <c r="L196" s="5">
        <f t="shared" si="24"/>
        <v>1372.5598976836718</v>
      </c>
      <c r="M196" s="5">
        <f t="shared" si="25"/>
        <v>22.875998294727864</v>
      </c>
      <c r="N196" t="s">
        <v>636</v>
      </c>
      <c r="O196">
        <f t="shared" si="26"/>
        <v>997.8</v>
      </c>
      <c r="P196">
        <f t="shared" si="27"/>
        <v>153.84337613187435</v>
      </c>
    </row>
    <row r="197" spans="1:16" ht="15.75" thickBot="1" x14ac:dyDescent="0.3">
      <c r="A197" t="str">
        <f t="shared" si="21"/>
        <v>GOOD</v>
      </c>
      <c r="B197" s="1">
        <v>1196</v>
      </c>
      <c r="C197" s="1">
        <v>1196536</v>
      </c>
      <c r="D197" s="1">
        <v>5</v>
      </c>
      <c r="E197" s="1">
        <v>36</v>
      </c>
      <c r="F197" s="1" t="s">
        <v>224</v>
      </c>
      <c r="G197" s="1" t="s">
        <v>296</v>
      </c>
      <c r="H197" s="1">
        <v>15.5</v>
      </c>
      <c r="I197" s="1">
        <f t="shared" si="22"/>
        <v>1.6012396694214876E-3</v>
      </c>
      <c r="J197" s="2">
        <v>849.1</v>
      </c>
      <c r="K197" s="3">
        <f t="shared" si="23"/>
        <v>1.8702643171806168</v>
      </c>
      <c r="L197" s="5">
        <f t="shared" si="24"/>
        <v>1168.0102316327982</v>
      </c>
      <c r="M197" s="5">
        <f t="shared" si="25"/>
        <v>19.466837193879972</v>
      </c>
      <c r="N197" t="s">
        <v>637</v>
      </c>
      <c r="O197">
        <f t="shared" si="26"/>
        <v>849.1</v>
      </c>
      <c r="P197">
        <f t="shared" si="27"/>
        <v>130.91642681256218</v>
      </c>
    </row>
    <row r="198" spans="1:16" ht="15.75" thickBot="1" x14ac:dyDescent="0.3">
      <c r="A198" t="str">
        <f t="shared" si="21"/>
        <v>GOOD</v>
      </c>
      <c r="B198" s="1">
        <v>1197</v>
      </c>
      <c r="C198" s="1">
        <v>1197537</v>
      </c>
      <c r="D198" s="1">
        <v>5</v>
      </c>
      <c r="E198" s="1">
        <v>37</v>
      </c>
      <c r="F198" s="1" t="s">
        <v>145</v>
      </c>
      <c r="G198" s="1" t="s">
        <v>146</v>
      </c>
      <c r="H198" s="1">
        <v>15.5</v>
      </c>
      <c r="I198" s="1">
        <f t="shared" si="22"/>
        <v>1.6012396694214876E-3</v>
      </c>
      <c r="J198" s="2">
        <v>986.8</v>
      </c>
      <c r="K198" s="3">
        <f t="shared" si="23"/>
        <v>2.173568281938326</v>
      </c>
      <c r="L198" s="5">
        <f t="shared" si="24"/>
        <v>1357.4284496234191</v>
      </c>
      <c r="M198" s="5">
        <f t="shared" si="25"/>
        <v>22.62380749372365</v>
      </c>
      <c r="N198" t="s">
        <v>638</v>
      </c>
      <c r="O198">
        <f t="shared" si="26"/>
        <v>986.8</v>
      </c>
      <c r="P198">
        <f t="shared" si="27"/>
        <v>152.14736777604094</v>
      </c>
    </row>
    <row r="199" spans="1:16" ht="15.75" thickBot="1" x14ac:dyDescent="0.3">
      <c r="A199" t="str">
        <f t="shared" si="21"/>
        <v>GOOD</v>
      </c>
      <c r="B199" s="1">
        <v>1198</v>
      </c>
      <c r="C199" s="1">
        <v>1198538</v>
      </c>
      <c r="D199" s="1">
        <v>5</v>
      </c>
      <c r="E199" s="1">
        <v>38</v>
      </c>
      <c r="F199" s="1" t="s">
        <v>29</v>
      </c>
      <c r="G199" s="1" t="s">
        <v>297</v>
      </c>
      <c r="H199" s="1">
        <v>15.5</v>
      </c>
      <c r="I199" s="1">
        <f t="shared" si="22"/>
        <v>1.6012396694214876E-3</v>
      </c>
      <c r="J199" s="2">
        <v>643.9</v>
      </c>
      <c r="K199" s="3">
        <f t="shared" si="23"/>
        <v>1.418281938325991</v>
      </c>
      <c r="L199" s="5">
        <f t="shared" si="24"/>
        <v>885.7399459997157</v>
      </c>
      <c r="M199" s="5">
        <f t="shared" si="25"/>
        <v>14.762332433328595</v>
      </c>
      <c r="N199" t="s">
        <v>639</v>
      </c>
      <c r="O199">
        <f t="shared" si="26"/>
        <v>643.9</v>
      </c>
      <c r="P199">
        <f t="shared" si="27"/>
        <v>99.278161847378144</v>
      </c>
    </row>
    <row r="200" spans="1:16" ht="15.75" thickBot="1" x14ac:dyDescent="0.3">
      <c r="A200" t="str">
        <f t="shared" si="21"/>
        <v>GOOD</v>
      </c>
      <c r="B200" s="1">
        <v>1199</v>
      </c>
      <c r="C200" s="1">
        <v>1199539</v>
      </c>
      <c r="D200" s="1">
        <v>5</v>
      </c>
      <c r="E200" s="1">
        <v>39</v>
      </c>
      <c r="F200" s="1" t="s">
        <v>258</v>
      </c>
      <c r="G200" s="1" t="s">
        <v>298</v>
      </c>
      <c r="H200" s="1">
        <v>15.5</v>
      </c>
      <c r="I200" s="1">
        <f t="shared" si="22"/>
        <v>1.6012396694214876E-3</v>
      </c>
      <c r="J200" s="2">
        <v>844.9</v>
      </c>
      <c r="K200" s="3">
        <f t="shared" si="23"/>
        <v>1.8610132158590307</v>
      </c>
      <c r="L200" s="5">
        <f t="shared" si="24"/>
        <v>1162.2327696461559</v>
      </c>
      <c r="M200" s="5">
        <f t="shared" si="25"/>
        <v>19.370546160769265</v>
      </c>
      <c r="N200" t="s">
        <v>640</v>
      </c>
      <c r="O200">
        <f t="shared" si="26"/>
        <v>844.9</v>
      </c>
      <c r="P200">
        <f t="shared" si="27"/>
        <v>130.26885998578939</v>
      </c>
    </row>
    <row r="201" spans="1:16" ht="15.75" thickBot="1" x14ac:dyDescent="0.3">
      <c r="A201" t="str">
        <f t="shared" si="21"/>
        <v>GOOD</v>
      </c>
      <c r="B201" s="1">
        <v>1200</v>
      </c>
      <c r="C201" s="1">
        <v>1200540</v>
      </c>
      <c r="D201" s="1">
        <v>5</v>
      </c>
      <c r="E201" s="1">
        <v>40</v>
      </c>
      <c r="F201" s="1" t="s">
        <v>299</v>
      </c>
      <c r="G201" s="1" t="s">
        <v>300</v>
      </c>
      <c r="H201" s="1">
        <v>15.5</v>
      </c>
      <c r="I201" s="1">
        <f t="shared" si="22"/>
        <v>1.6012396694214876E-3</v>
      </c>
      <c r="J201" s="2">
        <v>980</v>
      </c>
      <c r="K201" s="3">
        <f t="shared" si="23"/>
        <v>2.158590308370044</v>
      </c>
      <c r="L201" s="5">
        <f t="shared" si="24"/>
        <v>1348.0744635498081</v>
      </c>
      <c r="M201" s="5">
        <f t="shared" si="25"/>
        <v>22.467907725830134</v>
      </c>
      <c r="N201" t="s">
        <v>641</v>
      </c>
      <c r="O201">
        <f t="shared" si="26"/>
        <v>980</v>
      </c>
      <c r="P201">
        <f t="shared" si="27"/>
        <v>151.09892624698026</v>
      </c>
    </row>
    <row r="202" spans="1:16" ht="15.75" thickBot="1" x14ac:dyDescent="0.3">
      <c r="A202" t="str">
        <f t="shared" si="21"/>
        <v>GOOD</v>
      </c>
      <c r="B202" s="1">
        <v>1201</v>
      </c>
      <c r="C202" s="1">
        <v>1201640</v>
      </c>
      <c r="D202" s="1">
        <v>6</v>
      </c>
      <c r="E202" s="1">
        <v>40</v>
      </c>
      <c r="F202" s="1" t="s">
        <v>117</v>
      </c>
      <c r="G202" s="1" t="s">
        <v>190</v>
      </c>
      <c r="H202" s="1">
        <v>15</v>
      </c>
      <c r="I202" s="1">
        <f t="shared" si="22"/>
        <v>1.5495867768595042E-3</v>
      </c>
      <c r="J202" s="2">
        <v>1171.5999999999999</v>
      </c>
      <c r="K202" s="3">
        <f t="shared" si="23"/>
        <v>2.5806167400881055</v>
      </c>
      <c r="L202" s="5">
        <f t="shared" si="24"/>
        <v>1665.3580029368575</v>
      </c>
      <c r="M202" s="5">
        <f t="shared" si="25"/>
        <v>27.755966715614292</v>
      </c>
      <c r="N202" t="s">
        <v>642</v>
      </c>
      <c r="O202">
        <f t="shared" si="26"/>
        <v>1171.5999999999999</v>
      </c>
      <c r="P202">
        <f t="shared" si="27"/>
        <v>186.66165175917769</v>
      </c>
    </row>
    <row r="203" spans="1:16" ht="15.75" thickBot="1" x14ac:dyDescent="0.3">
      <c r="A203" t="str">
        <f t="shared" si="21"/>
        <v>GOOD</v>
      </c>
      <c r="B203" s="1">
        <v>1202</v>
      </c>
      <c r="C203" s="1">
        <v>1202639</v>
      </c>
      <c r="D203" s="1">
        <v>6</v>
      </c>
      <c r="E203" s="1">
        <v>39</v>
      </c>
      <c r="F203" s="1" t="s">
        <v>132</v>
      </c>
      <c r="G203" s="1" t="s">
        <v>95</v>
      </c>
      <c r="H203" s="1">
        <v>15</v>
      </c>
      <c r="I203" s="1">
        <f t="shared" si="22"/>
        <v>1.5495867768595042E-3</v>
      </c>
      <c r="J203" s="2">
        <v>822.5</v>
      </c>
      <c r="K203" s="3">
        <f t="shared" si="23"/>
        <v>1.8116740088105727</v>
      </c>
      <c r="L203" s="5">
        <f t="shared" si="24"/>
        <v>1169.1336270190895</v>
      </c>
      <c r="M203" s="5">
        <f t="shared" si="25"/>
        <v>19.485560450318157</v>
      </c>
      <c r="N203" t="s">
        <v>643</v>
      </c>
      <c r="O203">
        <f t="shared" si="26"/>
        <v>822.5</v>
      </c>
      <c r="P203">
        <f t="shared" si="27"/>
        <v>131.04234258443466</v>
      </c>
    </row>
    <row r="204" spans="1:16" ht="15.75" thickBot="1" x14ac:dyDescent="0.3">
      <c r="A204" t="str">
        <f t="shared" si="21"/>
        <v>GOOD</v>
      </c>
      <c r="B204" s="1">
        <v>1203</v>
      </c>
      <c r="C204" s="1">
        <v>1203638</v>
      </c>
      <c r="D204" s="1">
        <v>6</v>
      </c>
      <c r="E204" s="1">
        <v>38</v>
      </c>
      <c r="F204" s="1" t="s">
        <v>232</v>
      </c>
      <c r="G204" s="1" t="s">
        <v>183</v>
      </c>
      <c r="H204" s="1">
        <v>15</v>
      </c>
      <c r="I204" s="1">
        <f t="shared" si="22"/>
        <v>1.5495867768595042E-3</v>
      </c>
      <c r="J204" s="2">
        <v>983</v>
      </c>
      <c r="K204" s="3">
        <f t="shared" si="23"/>
        <v>2.1651982378854626</v>
      </c>
      <c r="L204" s="5">
        <f t="shared" si="24"/>
        <v>1397.2745961820851</v>
      </c>
      <c r="M204" s="5">
        <f t="shared" si="25"/>
        <v>23.287909936368084</v>
      </c>
      <c r="N204" t="s">
        <v>644</v>
      </c>
      <c r="O204">
        <f t="shared" si="26"/>
        <v>983</v>
      </c>
      <c r="P204">
        <f t="shared" si="27"/>
        <v>156.61352311306902</v>
      </c>
    </row>
    <row r="205" spans="1:16" ht="15.75" thickBot="1" x14ac:dyDescent="0.3">
      <c r="A205" t="str">
        <f t="shared" si="21"/>
        <v>GOOD</v>
      </c>
      <c r="B205" s="1">
        <v>1204</v>
      </c>
      <c r="C205" s="1">
        <v>1204637</v>
      </c>
      <c r="D205" s="1">
        <v>6</v>
      </c>
      <c r="E205" s="1">
        <v>37</v>
      </c>
      <c r="F205" s="1" t="s">
        <v>43</v>
      </c>
      <c r="G205" s="1" t="s">
        <v>301</v>
      </c>
      <c r="H205" s="1">
        <v>15</v>
      </c>
      <c r="I205" s="1">
        <f t="shared" si="22"/>
        <v>1.5495867768595042E-3</v>
      </c>
      <c r="J205" s="2">
        <v>1015.1</v>
      </c>
      <c r="K205" s="3">
        <f t="shared" si="23"/>
        <v>2.2359030837004408</v>
      </c>
      <c r="L205" s="5">
        <f t="shared" si="24"/>
        <v>1442.9027900146843</v>
      </c>
      <c r="M205" s="5">
        <f t="shared" si="25"/>
        <v>24.048379833578071</v>
      </c>
      <c r="N205" t="s">
        <v>645</v>
      </c>
      <c r="O205">
        <f t="shared" si="26"/>
        <v>1015.1</v>
      </c>
      <c r="P205">
        <f t="shared" si="27"/>
        <v>161.72775921879591</v>
      </c>
    </row>
    <row r="206" spans="1:16" ht="15.75" thickBot="1" x14ac:dyDescent="0.3">
      <c r="A206" t="str">
        <f t="shared" si="21"/>
        <v>GOOD</v>
      </c>
      <c r="B206" s="1">
        <v>1205</v>
      </c>
      <c r="C206" s="1">
        <v>1205636</v>
      </c>
      <c r="D206" s="1">
        <v>6</v>
      </c>
      <c r="E206" s="1">
        <v>36</v>
      </c>
      <c r="F206" s="1" t="s">
        <v>32</v>
      </c>
      <c r="G206" s="1" t="s">
        <v>235</v>
      </c>
      <c r="H206" s="1">
        <v>15</v>
      </c>
      <c r="I206" s="1">
        <f t="shared" si="22"/>
        <v>1.5495867768595042E-3</v>
      </c>
      <c r="J206" s="2">
        <v>1261.8</v>
      </c>
      <c r="K206" s="3">
        <f t="shared" si="23"/>
        <v>2.7792951541850219</v>
      </c>
      <c r="L206" s="5">
        <f t="shared" si="24"/>
        <v>1793.5718061674008</v>
      </c>
      <c r="M206" s="5">
        <f t="shared" si="25"/>
        <v>29.892863436123346</v>
      </c>
      <c r="N206" t="s">
        <v>646</v>
      </c>
      <c r="O206">
        <f t="shared" si="26"/>
        <v>1261.8</v>
      </c>
      <c r="P206">
        <f t="shared" si="27"/>
        <v>201.03249589427313</v>
      </c>
    </row>
    <row r="207" spans="1:16" ht="15.75" thickBot="1" x14ac:dyDescent="0.3">
      <c r="A207" t="str">
        <f t="shared" si="21"/>
        <v>GOOD</v>
      </c>
      <c r="B207" s="1">
        <v>1206</v>
      </c>
      <c r="C207" s="1">
        <v>1206635</v>
      </c>
      <c r="D207" s="1">
        <v>6</v>
      </c>
      <c r="E207" s="1">
        <v>35</v>
      </c>
      <c r="F207" s="1" t="s">
        <v>143</v>
      </c>
      <c r="G207" s="1" t="s">
        <v>302</v>
      </c>
      <c r="H207" s="1">
        <v>15</v>
      </c>
      <c r="I207" s="1">
        <f t="shared" si="22"/>
        <v>1.5495867768595042E-3</v>
      </c>
      <c r="J207" s="2">
        <v>968.1</v>
      </c>
      <c r="K207" s="3">
        <f t="shared" si="23"/>
        <v>2.1323788546255509</v>
      </c>
      <c r="L207" s="5">
        <f t="shared" si="24"/>
        <v>1376.0951541850222</v>
      </c>
      <c r="M207" s="5">
        <f t="shared" si="25"/>
        <v>22.934919236417038</v>
      </c>
      <c r="N207" t="s">
        <v>647</v>
      </c>
      <c r="O207">
        <f t="shared" si="26"/>
        <v>968.1</v>
      </c>
      <c r="P207">
        <f t="shared" si="27"/>
        <v>154.23962535682821</v>
      </c>
    </row>
    <row r="208" spans="1:16" ht="15.75" thickBot="1" x14ac:dyDescent="0.3">
      <c r="A208" t="str">
        <f t="shared" si="21"/>
        <v>GOOD</v>
      </c>
      <c r="B208" s="1">
        <v>1207</v>
      </c>
      <c r="C208" s="1">
        <v>1207634</v>
      </c>
      <c r="D208" s="1">
        <v>6</v>
      </c>
      <c r="E208" s="1">
        <v>34</v>
      </c>
      <c r="F208" s="1" t="s">
        <v>156</v>
      </c>
      <c r="G208" s="1" t="s">
        <v>242</v>
      </c>
      <c r="H208" s="1">
        <v>15</v>
      </c>
      <c r="I208" s="1">
        <f t="shared" si="22"/>
        <v>1.5495867768595042E-3</v>
      </c>
      <c r="J208" s="2">
        <v>977.2</v>
      </c>
      <c r="K208" s="3">
        <f t="shared" si="23"/>
        <v>2.1524229074889867</v>
      </c>
      <c r="L208" s="5">
        <f t="shared" si="24"/>
        <v>1389.0302496328927</v>
      </c>
      <c r="M208" s="5">
        <f t="shared" si="25"/>
        <v>23.150504160548213</v>
      </c>
      <c r="N208" t="s">
        <v>648</v>
      </c>
      <c r="O208">
        <f t="shared" si="26"/>
        <v>977.2</v>
      </c>
      <c r="P208">
        <f t="shared" si="27"/>
        <v>155.68945553010278</v>
      </c>
    </row>
    <row r="209" spans="1:16" ht="15.75" thickBot="1" x14ac:dyDescent="0.3">
      <c r="A209" t="str">
        <f t="shared" si="21"/>
        <v>GOOD</v>
      </c>
      <c r="B209" s="1">
        <v>1208</v>
      </c>
      <c r="C209" s="1">
        <v>1208633</v>
      </c>
      <c r="D209" s="1">
        <v>6</v>
      </c>
      <c r="E209" s="1">
        <v>33</v>
      </c>
      <c r="F209" s="1" t="s">
        <v>140</v>
      </c>
      <c r="G209" s="1" t="s">
        <v>303</v>
      </c>
      <c r="H209" s="1">
        <v>15</v>
      </c>
      <c r="I209" s="1">
        <f t="shared" si="22"/>
        <v>1.5495867768595042E-3</v>
      </c>
      <c r="J209" s="2">
        <v>1301</v>
      </c>
      <c r="K209" s="3">
        <f t="shared" si="23"/>
        <v>2.8656387665198237</v>
      </c>
      <c r="L209" s="5">
        <f t="shared" si="24"/>
        <v>1849.2922173274596</v>
      </c>
      <c r="M209" s="5">
        <f t="shared" si="25"/>
        <v>30.82153695545766</v>
      </c>
      <c r="N209" t="s">
        <v>649</v>
      </c>
      <c r="O209">
        <f t="shared" si="26"/>
        <v>1301</v>
      </c>
      <c r="P209">
        <f t="shared" si="27"/>
        <v>207.27791817914832</v>
      </c>
    </row>
    <row r="210" spans="1:16" ht="15.75" thickBot="1" x14ac:dyDescent="0.3">
      <c r="A210" t="str">
        <f t="shared" si="21"/>
        <v>GOOD</v>
      </c>
      <c r="B210" s="1">
        <v>1209</v>
      </c>
      <c r="C210" s="1">
        <v>1209632</v>
      </c>
      <c r="D210" s="1">
        <v>6</v>
      </c>
      <c r="E210" s="1">
        <v>32</v>
      </c>
      <c r="F210" s="1" t="s">
        <v>21</v>
      </c>
      <c r="G210" s="1" t="s">
        <v>304</v>
      </c>
      <c r="H210" s="1">
        <v>15</v>
      </c>
      <c r="I210" s="1">
        <f t="shared" si="22"/>
        <v>1.5495867768595042E-3</v>
      </c>
      <c r="J210" s="2">
        <v>1285.8</v>
      </c>
      <c r="K210" s="3">
        <f t="shared" si="23"/>
        <v>2.8321585903083699</v>
      </c>
      <c r="L210" s="5">
        <f t="shared" si="24"/>
        <v>1827.6863436123347</v>
      </c>
      <c r="M210" s="5">
        <f t="shared" si="25"/>
        <v>30.461439060205578</v>
      </c>
      <c r="N210" t="s">
        <v>650</v>
      </c>
      <c r="O210">
        <f t="shared" si="26"/>
        <v>1285.8</v>
      </c>
      <c r="P210">
        <f t="shared" si="27"/>
        <v>204.85622382378853</v>
      </c>
    </row>
    <row r="211" spans="1:16" ht="15.75" thickBot="1" x14ac:dyDescent="0.3">
      <c r="A211" t="str">
        <f t="shared" si="21"/>
        <v>GOOD</v>
      </c>
      <c r="B211" s="1">
        <v>1210</v>
      </c>
      <c r="C211" s="1">
        <v>1210631</v>
      </c>
      <c r="D211" s="1">
        <v>6</v>
      </c>
      <c r="E211" s="1">
        <v>31</v>
      </c>
      <c r="F211" s="1" t="s">
        <v>125</v>
      </c>
      <c r="G211" s="1" t="s">
        <v>148</v>
      </c>
      <c r="H211" s="1">
        <v>15</v>
      </c>
      <c r="I211" s="1">
        <f t="shared" si="22"/>
        <v>1.5495867768595042E-3</v>
      </c>
      <c r="J211" s="2">
        <v>1026.0999999999999</v>
      </c>
      <c r="K211" s="3">
        <f t="shared" si="23"/>
        <v>2.260132158590308</v>
      </c>
      <c r="L211" s="5">
        <f t="shared" si="24"/>
        <v>1458.5386196769455</v>
      </c>
      <c r="M211" s="5">
        <f t="shared" si="25"/>
        <v>24.308976994615758</v>
      </c>
      <c r="N211" t="s">
        <v>651</v>
      </c>
      <c r="O211">
        <f t="shared" si="26"/>
        <v>1026.0999999999999</v>
      </c>
      <c r="P211">
        <f t="shared" si="27"/>
        <v>163.48030118649044</v>
      </c>
    </row>
    <row r="212" spans="1:16" ht="15.75" thickBot="1" x14ac:dyDescent="0.3">
      <c r="A212" t="str">
        <f t="shared" si="21"/>
        <v>GOOD</v>
      </c>
      <c r="B212" s="1">
        <v>1211</v>
      </c>
      <c r="C212" s="1">
        <v>1211630</v>
      </c>
      <c r="D212" s="1">
        <v>6</v>
      </c>
      <c r="E212" s="1">
        <v>30</v>
      </c>
      <c r="F212" s="1" t="s">
        <v>305</v>
      </c>
      <c r="G212" s="1" t="s">
        <v>306</v>
      </c>
      <c r="H212" s="1">
        <v>15</v>
      </c>
      <c r="I212" s="1">
        <f t="shared" si="22"/>
        <v>1.5495867768595042E-3</v>
      </c>
      <c r="J212" s="2">
        <v>1092.5999999999999</v>
      </c>
      <c r="K212" s="3">
        <f t="shared" si="23"/>
        <v>2.4066079295154181</v>
      </c>
      <c r="L212" s="5">
        <f t="shared" si="24"/>
        <v>1553.0643171806164</v>
      </c>
      <c r="M212" s="5">
        <f t="shared" si="25"/>
        <v>25.884405286343608</v>
      </c>
      <c r="N212" t="s">
        <v>652</v>
      </c>
      <c r="O212">
        <f t="shared" si="26"/>
        <v>1092.5999999999999</v>
      </c>
      <c r="P212">
        <f t="shared" si="27"/>
        <v>174.0752139911894</v>
      </c>
    </row>
    <row r="213" spans="1:16" ht="15.75" thickBot="1" x14ac:dyDescent="0.3">
      <c r="A213" t="str">
        <f t="shared" si="21"/>
        <v>GOOD</v>
      </c>
      <c r="B213" s="1">
        <v>1212</v>
      </c>
      <c r="C213" s="1">
        <v>1212629</v>
      </c>
      <c r="D213" s="1">
        <v>6</v>
      </c>
      <c r="E213" s="1">
        <v>29</v>
      </c>
      <c r="F213" s="1" t="s">
        <v>307</v>
      </c>
      <c r="G213" s="1" t="s">
        <v>308</v>
      </c>
      <c r="H213" s="1">
        <v>15</v>
      </c>
      <c r="I213" s="1">
        <f t="shared" si="22"/>
        <v>1.5495867768595042E-3</v>
      </c>
      <c r="J213" s="2">
        <v>1025.8</v>
      </c>
      <c r="K213" s="3">
        <f t="shared" si="23"/>
        <v>2.2594713656387664</v>
      </c>
      <c r="L213" s="5">
        <f t="shared" si="24"/>
        <v>1458.1121879588839</v>
      </c>
      <c r="M213" s="5">
        <f t="shared" si="25"/>
        <v>24.30186979931473</v>
      </c>
      <c r="N213" t="s">
        <v>653</v>
      </c>
      <c r="O213">
        <f t="shared" si="26"/>
        <v>1025.8</v>
      </c>
      <c r="P213">
        <f t="shared" si="27"/>
        <v>163.43250458737151</v>
      </c>
    </row>
    <row r="214" spans="1:16" ht="15.75" thickBot="1" x14ac:dyDescent="0.3">
      <c r="A214" t="str">
        <f t="shared" si="21"/>
        <v>GOOD</v>
      </c>
      <c r="B214" s="1">
        <v>1213</v>
      </c>
      <c r="C214" s="1">
        <v>1213628</v>
      </c>
      <c r="D214" s="1">
        <v>6</v>
      </c>
      <c r="E214" s="1">
        <v>28</v>
      </c>
      <c r="F214" s="1" t="s">
        <v>309</v>
      </c>
      <c r="G214" s="1" t="s">
        <v>310</v>
      </c>
      <c r="H214" s="1">
        <v>15</v>
      </c>
      <c r="I214" s="1">
        <f t="shared" si="22"/>
        <v>1.5495867768595042E-3</v>
      </c>
      <c r="J214" s="2">
        <v>674.1</v>
      </c>
      <c r="K214" s="3">
        <f t="shared" si="23"/>
        <v>1.4848017621145375</v>
      </c>
      <c r="L214" s="5">
        <f t="shared" si="24"/>
        <v>958.19207048458156</v>
      </c>
      <c r="M214" s="5">
        <f t="shared" si="25"/>
        <v>15.969867841409693</v>
      </c>
      <c r="N214" t="s">
        <v>654</v>
      </c>
      <c r="O214">
        <f t="shared" si="26"/>
        <v>674.1</v>
      </c>
      <c r="P214">
        <f t="shared" si="27"/>
        <v>107.39895822026433</v>
      </c>
    </row>
    <row r="215" spans="1:16" ht="15.75" thickBot="1" x14ac:dyDescent="0.3">
      <c r="A215" t="str">
        <f t="shared" si="21"/>
        <v>GOOD</v>
      </c>
      <c r="B215" s="1">
        <v>1214</v>
      </c>
      <c r="C215" s="1">
        <v>1214627</v>
      </c>
      <c r="D215" s="1">
        <v>6</v>
      </c>
      <c r="E215" s="1">
        <v>27</v>
      </c>
      <c r="F215" s="1" t="s">
        <v>130</v>
      </c>
      <c r="G215" s="1" t="s">
        <v>311</v>
      </c>
      <c r="H215" s="1">
        <v>15</v>
      </c>
      <c r="I215" s="1">
        <f t="shared" si="22"/>
        <v>1.5495867768595042E-3</v>
      </c>
      <c r="J215" s="2">
        <v>1054.2</v>
      </c>
      <c r="K215" s="3">
        <f t="shared" si="23"/>
        <v>2.3220264317180619</v>
      </c>
      <c r="L215" s="5">
        <f t="shared" si="24"/>
        <v>1498.4810572687225</v>
      </c>
      <c r="M215" s="5">
        <f t="shared" si="25"/>
        <v>24.974684287812043</v>
      </c>
      <c r="N215" t="s">
        <v>655</v>
      </c>
      <c r="O215">
        <f t="shared" si="26"/>
        <v>1054.2</v>
      </c>
      <c r="P215">
        <f t="shared" si="27"/>
        <v>167.95724930396477</v>
      </c>
    </row>
    <row r="216" spans="1:16" ht="15.75" thickBot="1" x14ac:dyDescent="0.3">
      <c r="A216" t="str">
        <f t="shared" si="21"/>
        <v>GOOD</v>
      </c>
      <c r="B216" s="1">
        <v>1215</v>
      </c>
      <c r="C216" s="1">
        <v>1215626</v>
      </c>
      <c r="D216" s="1">
        <v>6</v>
      </c>
      <c r="E216" s="1">
        <v>26</v>
      </c>
      <c r="F216" s="1" t="s">
        <v>61</v>
      </c>
      <c r="G216" s="1" t="s">
        <v>301</v>
      </c>
      <c r="H216" s="1">
        <v>15</v>
      </c>
      <c r="I216" s="1">
        <f t="shared" si="22"/>
        <v>1.5495867768595042E-3</v>
      </c>
      <c r="J216" s="2">
        <v>797.3</v>
      </c>
      <c r="K216" s="3">
        <f t="shared" si="23"/>
        <v>1.7561674008810573</v>
      </c>
      <c r="L216" s="5">
        <f t="shared" si="24"/>
        <v>1133.313362701909</v>
      </c>
      <c r="M216" s="5">
        <f t="shared" si="25"/>
        <v>18.888556045031816</v>
      </c>
      <c r="N216" t="s">
        <v>656</v>
      </c>
      <c r="O216">
        <f t="shared" si="26"/>
        <v>797.3</v>
      </c>
      <c r="P216">
        <f t="shared" si="27"/>
        <v>127.02742825844348</v>
      </c>
    </row>
    <row r="217" spans="1:16" ht="15.75" thickBot="1" x14ac:dyDescent="0.3">
      <c r="A217" t="str">
        <f t="shared" si="21"/>
        <v>GOOD</v>
      </c>
      <c r="B217" s="1">
        <v>1216</v>
      </c>
      <c r="C217" s="1">
        <v>1216625</v>
      </c>
      <c r="D217" s="1">
        <v>6</v>
      </c>
      <c r="E217" s="1">
        <v>25</v>
      </c>
      <c r="F217" s="1" t="s">
        <v>312</v>
      </c>
      <c r="G217" s="1" t="s">
        <v>272</v>
      </c>
      <c r="H217" s="1">
        <v>15</v>
      </c>
      <c r="I217" s="1">
        <f t="shared" si="22"/>
        <v>1.5495867768595042E-3</v>
      </c>
      <c r="J217" s="2">
        <v>558.70000000000005</v>
      </c>
      <c r="K217" s="3">
        <f t="shared" si="23"/>
        <v>1.2306167400881058</v>
      </c>
      <c r="L217" s="5">
        <f t="shared" si="24"/>
        <v>794.15800293685766</v>
      </c>
      <c r="M217" s="5">
        <f t="shared" si="25"/>
        <v>13.235966715614294</v>
      </c>
      <c r="N217" t="s">
        <v>657</v>
      </c>
      <c r="O217">
        <f t="shared" si="26"/>
        <v>558.70000000000005</v>
      </c>
      <c r="P217">
        <f t="shared" si="27"/>
        <v>89.013199759177695</v>
      </c>
    </row>
    <row r="218" spans="1:16" ht="15.75" thickBot="1" x14ac:dyDescent="0.3">
      <c r="A218" t="str">
        <f t="shared" si="21"/>
        <v>GOOD</v>
      </c>
      <c r="B218" s="1">
        <v>1217</v>
      </c>
      <c r="C218" s="1">
        <v>1217624</v>
      </c>
      <c r="D218" s="1">
        <v>6</v>
      </c>
      <c r="E218" s="1">
        <v>24</v>
      </c>
      <c r="F218" s="1" t="s">
        <v>175</v>
      </c>
      <c r="G218" s="1" t="s">
        <v>41</v>
      </c>
      <c r="H218" s="1">
        <v>15</v>
      </c>
      <c r="I218" s="1">
        <f t="shared" si="22"/>
        <v>1.5495867768595042E-3</v>
      </c>
      <c r="J218" s="2">
        <v>728.5</v>
      </c>
      <c r="K218" s="3">
        <f t="shared" si="23"/>
        <v>1.6046255506607929</v>
      </c>
      <c r="L218" s="5">
        <f t="shared" si="24"/>
        <v>1035.5183553597651</v>
      </c>
      <c r="M218" s="5">
        <f t="shared" si="25"/>
        <v>17.258639255996084</v>
      </c>
      <c r="N218" t="s">
        <v>658</v>
      </c>
      <c r="O218">
        <f t="shared" si="26"/>
        <v>728.5</v>
      </c>
      <c r="P218">
        <f t="shared" si="27"/>
        <v>116.06607486049927</v>
      </c>
    </row>
    <row r="219" spans="1:16" ht="15.75" thickBot="1" x14ac:dyDescent="0.3">
      <c r="A219" t="str">
        <f t="shared" si="21"/>
        <v>GOOD</v>
      </c>
      <c r="B219" s="1">
        <v>1218</v>
      </c>
      <c r="C219" s="1">
        <v>1218623</v>
      </c>
      <c r="D219" s="1">
        <v>6</v>
      </c>
      <c r="E219" s="1">
        <v>23</v>
      </c>
      <c r="F219" s="1" t="s">
        <v>313</v>
      </c>
      <c r="G219" s="1" t="s">
        <v>26</v>
      </c>
      <c r="H219" s="1">
        <v>15</v>
      </c>
      <c r="I219" s="1">
        <f t="shared" si="22"/>
        <v>1.5495867768595042E-3</v>
      </c>
      <c r="J219" s="2">
        <v>1232.9000000000001</v>
      </c>
      <c r="K219" s="3">
        <f t="shared" si="23"/>
        <v>2.7156387665198238</v>
      </c>
      <c r="L219" s="5">
        <f t="shared" si="24"/>
        <v>1752.4922173274597</v>
      </c>
      <c r="M219" s="5">
        <f t="shared" si="25"/>
        <v>29.208203622124326</v>
      </c>
      <c r="N219" t="s">
        <v>659</v>
      </c>
      <c r="O219">
        <f t="shared" si="26"/>
        <v>1232.9000000000001</v>
      </c>
      <c r="P219">
        <f t="shared" si="27"/>
        <v>196.42809017914831</v>
      </c>
    </row>
    <row r="220" spans="1:16" ht="15.75" thickBot="1" x14ac:dyDescent="0.3">
      <c r="A220" t="str">
        <f t="shared" si="21"/>
        <v>GOOD</v>
      </c>
      <c r="B220" s="1">
        <v>1219</v>
      </c>
      <c r="C220" s="1">
        <v>1219622</v>
      </c>
      <c r="D220" s="1">
        <v>6</v>
      </c>
      <c r="E220" s="1">
        <v>22</v>
      </c>
      <c r="F220" s="1" t="s">
        <v>314</v>
      </c>
      <c r="G220" s="1" t="s">
        <v>153</v>
      </c>
      <c r="H220" s="1">
        <v>15</v>
      </c>
      <c r="I220" s="1">
        <f t="shared" si="22"/>
        <v>1.5495867768595042E-3</v>
      </c>
      <c r="J220" s="2">
        <v>1054.9000000000001</v>
      </c>
      <c r="K220" s="3">
        <f t="shared" si="23"/>
        <v>2.3235682819383263</v>
      </c>
      <c r="L220" s="5">
        <f t="shared" si="24"/>
        <v>1499.4760646108666</v>
      </c>
      <c r="M220" s="5">
        <f t="shared" si="25"/>
        <v>24.991267743514445</v>
      </c>
      <c r="N220" t="s">
        <v>660</v>
      </c>
      <c r="O220">
        <f t="shared" si="26"/>
        <v>1054.9000000000001</v>
      </c>
      <c r="P220">
        <f t="shared" si="27"/>
        <v>168.06877470190898</v>
      </c>
    </row>
    <row r="221" spans="1:16" ht="15.75" thickBot="1" x14ac:dyDescent="0.3">
      <c r="A221" t="str">
        <f t="shared" si="21"/>
        <v>GOOD</v>
      </c>
      <c r="B221" s="1">
        <v>1220</v>
      </c>
      <c r="C221" s="1">
        <v>1220621</v>
      </c>
      <c r="D221" s="1">
        <v>6</v>
      </c>
      <c r="E221" s="1">
        <v>21</v>
      </c>
      <c r="F221" s="1" t="s">
        <v>228</v>
      </c>
      <c r="G221" s="1" t="s">
        <v>315</v>
      </c>
      <c r="H221" s="1">
        <v>15</v>
      </c>
      <c r="I221" s="1">
        <f t="shared" si="22"/>
        <v>1.5495867768595042E-3</v>
      </c>
      <c r="J221" s="2">
        <v>866</v>
      </c>
      <c r="K221" s="3">
        <f t="shared" si="23"/>
        <v>1.9074889867841409</v>
      </c>
      <c r="L221" s="5">
        <f t="shared" si="24"/>
        <v>1230.9662261380322</v>
      </c>
      <c r="M221" s="5">
        <f t="shared" si="25"/>
        <v>20.516103768967202</v>
      </c>
      <c r="N221" t="s">
        <v>661</v>
      </c>
      <c r="O221">
        <f t="shared" si="26"/>
        <v>866</v>
      </c>
      <c r="P221">
        <f t="shared" si="27"/>
        <v>137.97284945668133</v>
      </c>
    </row>
    <row r="222" spans="1:16" ht="15.75" thickBot="1" x14ac:dyDescent="0.3">
      <c r="A222" t="str">
        <f t="shared" si="21"/>
        <v>GOOD</v>
      </c>
      <c r="B222" s="1">
        <v>1221</v>
      </c>
      <c r="C222" s="1">
        <v>1221620</v>
      </c>
      <c r="D222" s="1">
        <v>6</v>
      </c>
      <c r="E222" s="1">
        <v>20</v>
      </c>
      <c r="F222" s="1" t="s">
        <v>258</v>
      </c>
      <c r="G222" s="1" t="s">
        <v>82</v>
      </c>
      <c r="H222" s="1">
        <v>15</v>
      </c>
      <c r="I222" s="1">
        <f t="shared" si="22"/>
        <v>1.5495867768595042E-3</v>
      </c>
      <c r="J222" s="2">
        <v>1159.8</v>
      </c>
      <c r="K222" s="3">
        <f t="shared" si="23"/>
        <v>2.5546255506607927</v>
      </c>
      <c r="L222" s="5">
        <f t="shared" si="24"/>
        <v>1648.5850220264315</v>
      </c>
      <c r="M222" s="5">
        <f t="shared" si="25"/>
        <v>27.47641703377386</v>
      </c>
      <c r="N222" t="s">
        <v>662</v>
      </c>
      <c r="O222">
        <f t="shared" si="26"/>
        <v>1159.8</v>
      </c>
      <c r="P222">
        <f t="shared" si="27"/>
        <v>184.78165219383257</v>
      </c>
    </row>
    <row r="223" spans="1:16" ht="15.75" thickBot="1" x14ac:dyDescent="0.3">
      <c r="A223" t="str">
        <f t="shared" si="21"/>
        <v>GOOD</v>
      </c>
      <c r="B223" s="1">
        <v>1222</v>
      </c>
      <c r="C223" s="1">
        <v>1222619</v>
      </c>
      <c r="D223" s="1">
        <v>6</v>
      </c>
      <c r="E223" s="1">
        <v>19</v>
      </c>
      <c r="F223" s="1" t="s">
        <v>179</v>
      </c>
      <c r="G223" s="1" t="s">
        <v>316</v>
      </c>
      <c r="H223" s="1">
        <v>15</v>
      </c>
      <c r="I223" s="1">
        <f t="shared" si="22"/>
        <v>1.5495867768595042E-3</v>
      </c>
      <c r="J223" s="2">
        <v>845.1</v>
      </c>
      <c r="K223" s="3">
        <f t="shared" si="23"/>
        <v>1.8614537444933921</v>
      </c>
      <c r="L223" s="5">
        <f t="shared" si="24"/>
        <v>1201.2581497797357</v>
      </c>
      <c r="M223" s="5">
        <f t="shared" si="25"/>
        <v>20.020969162995595</v>
      </c>
      <c r="N223" t="s">
        <v>663</v>
      </c>
      <c r="O223">
        <f t="shared" si="26"/>
        <v>845.1</v>
      </c>
      <c r="P223">
        <f t="shared" si="27"/>
        <v>134.64301971806168</v>
      </c>
    </row>
    <row r="224" spans="1:16" ht="15.75" thickBot="1" x14ac:dyDescent="0.3">
      <c r="A224" t="str">
        <f t="shared" si="21"/>
        <v>GOOD</v>
      </c>
      <c r="B224" s="1">
        <v>1223</v>
      </c>
      <c r="C224" s="1">
        <v>1223618</v>
      </c>
      <c r="D224" s="1">
        <v>6</v>
      </c>
      <c r="E224" s="1">
        <v>18</v>
      </c>
      <c r="F224" s="1" t="s">
        <v>160</v>
      </c>
      <c r="G224" s="1" t="s">
        <v>35</v>
      </c>
      <c r="H224" s="1">
        <v>15</v>
      </c>
      <c r="I224" s="1">
        <f t="shared" si="22"/>
        <v>1.5495867768595042E-3</v>
      </c>
      <c r="J224" s="2">
        <v>895.7</v>
      </c>
      <c r="K224" s="3">
        <f t="shared" si="23"/>
        <v>1.9729074889867841</v>
      </c>
      <c r="L224" s="5">
        <f t="shared" si="24"/>
        <v>1273.182966226138</v>
      </c>
      <c r="M224" s="5">
        <f t="shared" si="25"/>
        <v>21.219716103768967</v>
      </c>
      <c r="N224" t="s">
        <v>664</v>
      </c>
      <c r="O224">
        <f t="shared" si="26"/>
        <v>895.7</v>
      </c>
      <c r="P224">
        <f t="shared" si="27"/>
        <v>142.70471276945668</v>
      </c>
    </row>
    <row r="225" spans="1:16" ht="15.75" thickBot="1" x14ac:dyDescent="0.3">
      <c r="A225" t="str">
        <f t="shared" si="21"/>
        <v>GOOD</v>
      </c>
      <c r="B225" s="1">
        <v>1224</v>
      </c>
      <c r="C225" s="1">
        <v>1224617</v>
      </c>
      <c r="D225" s="1">
        <v>6</v>
      </c>
      <c r="E225" s="1">
        <v>17</v>
      </c>
      <c r="F225" s="1" t="s">
        <v>241</v>
      </c>
      <c r="G225" s="1" t="s">
        <v>317</v>
      </c>
      <c r="H225" s="1">
        <v>15</v>
      </c>
      <c r="I225" s="1">
        <f t="shared" si="22"/>
        <v>1.5495867768595042E-3</v>
      </c>
      <c r="J225" s="2">
        <v>1179.2</v>
      </c>
      <c r="K225" s="3">
        <f t="shared" si="23"/>
        <v>2.5973568281938326</v>
      </c>
      <c r="L225" s="5">
        <f t="shared" si="24"/>
        <v>1676.1609397944198</v>
      </c>
      <c r="M225" s="5">
        <f t="shared" si="25"/>
        <v>27.93601566324033</v>
      </c>
      <c r="N225" t="s">
        <v>665</v>
      </c>
      <c r="O225">
        <f t="shared" si="26"/>
        <v>1179.2</v>
      </c>
      <c r="P225">
        <f t="shared" si="27"/>
        <v>187.87249893685757</v>
      </c>
    </row>
    <row r="226" spans="1:16" ht="15.75" thickBot="1" x14ac:dyDescent="0.3">
      <c r="A226" t="str">
        <f t="shared" si="21"/>
        <v>GOOD</v>
      </c>
      <c r="B226" s="1">
        <v>1225</v>
      </c>
      <c r="C226" s="1">
        <v>1225616</v>
      </c>
      <c r="D226" s="1">
        <v>6</v>
      </c>
      <c r="E226" s="1">
        <v>16</v>
      </c>
      <c r="F226" s="1" t="s">
        <v>113</v>
      </c>
      <c r="G226" s="1" t="s">
        <v>318</v>
      </c>
      <c r="H226" s="1">
        <v>15</v>
      </c>
      <c r="I226" s="1">
        <f t="shared" si="22"/>
        <v>1.5495867768595042E-3</v>
      </c>
      <c r="J226" s="2">
        <v>1346.4</v>
      </c>
      <c r="K226" s="3">
        <f t="shared" si="23"/>
        <v>2.9656387665198238</v>
      </c>
      <c r="L226" s="5">
        <f t="shared" si="24"/>
        <v>1913.8255506607929</v>
      </c>
      <c r="M226" s="5">
        <f t="shared" si="25"/>
        <v>31.897092511013216</v>
      </c>
      <c r="N226" t="s">
        <v>666</v>
      </c>
      <c r="O226">
        <f t="shared" si="26"/>
        <v>1346.4</v>
      </c>
      <c r="P226">
        <f t="shared" si="27"/>
        <v>214.51113684581497</v>
      </c>
    </row>
    <row r="227" spans="1:16" ht="15.75" thickBot="1" x14ac:dyDescent="0.3">
      <c r="A227" t="str">
        <f t="shared" si="21"/>
        <v>GOOD</v>
      </c>
      <c r="B227" s="1">
        <v>1226</v>
      </c>
      <c r="C227" s="1">
        <v>1226615</v>
      </c>
      <c r="D227" s="1">
        <v>6</v>
      </c>
      <c r="E227" s="1">
        <v>15</v>
      </c>
      <c r="F227" s="1" t="s">
        <v>40</v>
      </c>
      <c r="G227" s="1" t="s">
        <v>319</v>
      </c>
      <c r="H227" s="1">
        <v>15</v>
      </c>
      <c r="I227" s="1">
        <f t="shared" si="22"/>
        <v>1.5495867768595042E-3</v>
      </c>
      <c r="J227" s="2">
        <v>1020.9</v>
      </c>
      <c r="K227" s="3">
        <f t="shared" si="23"/>
        <v>2.2486784140969163</v>
      </c>
      <c r="L227" s="5">
        <f t="shared" si="24"/>
        <v>1451.1471365638765</v>
      </c>
      <c r="M227" s="5">
        <f t="shared" si="25"/>
        <v>24.185785609397943</v>
      </c>
      <c r="N227" t="s">
        <v>667</v>
      </c>
      <c r="O227">
        <f t="shared" si="26"/>
        <v>1020.9</v>
      </c>
      <c r="P227">
        <f t="shared" si="27"/>
        <v>162.6518268017621</v>
      </c>
    </row>
    <row r="228" spans="1:16" ht="15.75" thickBot="1" x14ac:dyDescent="0.3">
      <c r="A228" t="str">
        <f t="shared" si="21"/>
        <v>GOOD</v>
      </c>
      <c r="B228" s="1">
        <v>1227</v>
      </c>
      <c r="C228" s="1">
        <v>1227614</v>
      </c>
      <c r="D228" s="1">
        <v>6</v>
      </c>
      <c r="E228" s="1">
        <v>14</v>
      </c>
      <c r="F228" s="1" t="s">
        <v>320</v>
      </c>
      <c r="G228" s="1" t="s">
        <v>321</v>
      </c>
      <c r="H228" s="1">
        <v>15</v>
      </c>
      <c r="I228" s="1">
        <f t="shared" si="22"/>
        <v>1.5495867768595042E-3</v>
      </c>
      <c r="J228" s="2">
        <v>1379.8</v>
      </c>
      <c r="K228" s="3">
        <f t="shared" si="23"/>
        <v>3.0392070484581497</v>
      </c>
      <c r="L228" s="5">
        <f t="shared" si="24"/>
        <v>1961.3016152716593</v>
      </c>
      <c r="M228" s="5">
        <f t="shared" si="25"/>
        <v>32.688360254527659</v>
      </c>
      <c r="N228" t="s">
        <v>668</v>
      </c>
      <c r="O228">
        <f t="shared" si="26"/>
        <v>1379.8</v>
      </c>
      <c r="P228">
        <f t="shared" si="27"/>
        <v>219.83249154772395</v>
      </c>
    </row>
    <row r="229" spans="1:16" ht="15.75" thickBot="1" x14ac:dyDescent="0.3">
      <c r="A229" t="str">
        <f t="shared" si="21"/>
        <v>GOOD</v>
      </c>
      <c r="B229" s="1">
        <v>1228</v>
      </c>
      <c r="C229" s="1">
        <v>1228613</v>
      </c>
      <c r="D229" s="1">
        <v>6</v>
      </c>
      <c r="E229" s="1">
        <v>13</v>
      </c>
      <c r="F229" s="1" t="s">
        <v>268</v>
      </c>
      <c r="G229" s="1" t="s">
        <v>322</v>
      </c>
      <c r="H229" s="1">
        <v>15</v>
      </c>
      <c r="I229" s="1">
        <f t="shared" si="22"/>
        <v>1.5495867768595042E-3</v>
      </c>
      <c r="J229" s="2">
        <v>1138.9000000000001</v>
      </c>
      <c r="K229" s="3">
        <f t="shared" si="23"/>
        <v>2.508590308370044</v>
      </c>
      <c r="L229" s="5">
        <f t="shared" si="24"/>
        <v>1618.876945668135</v>
      </c>
      <c r="M229" s="5">
        <f t="shared" si="25"/>
        <v>26.981282427802249</v>
      </c>
      <c r="N229" t="s">
        <v>669</v>
      </c>
      <c r="O229">
        <f t="shared" si="26"/>
        <v>1138.9000000000001</v>
      </c>
      <c r="P229">
        <f t="shared" si="27"/>
        <v>181.45182245521292</v>
      </c>
    </row>
    <row r="230" spans="1:16" ht="15.75" thickBot="1" x14ac:dyDescent="0.3">
      <c r="A230" t="str">
        <f t="shared" si="21"/>
        <v>GOOD</v>
      </c>
      <c r="B230" s="1">
        <v>1229</v>
      </c>
      <c r="C230" s="1">
        <v>1229612</v>
      </c>
      <c r="D230" s="1">
        <v>6</v>
      </c>
      <c r="E230" s="1">
        <v>12</v>
      </c>
      <c r="F230" s="1" t="s">
        <v>147</v>
      </c>
      <c r="G230" s="1" t="s">
        <v>148</v>
      </c>
      <c r="H230" s="1">
        <v>15</v>
      </c>
      <c r="I230" s="1">
        <f t="shared" si="22"/>
        <v>1.5495867768595042E-3</v>
      </c>
      <c r="J230" s="2">
        <v>859.8</v>
      </c>
      <c r="K230" s="3">
        <f t="shared" si="23"/>
        <v>1.8938325991189426</v>
      </c>
      <c r="L230" s="5">
        <f t="shared" si="24"/>
        <v>1222.1533039647577</v>
      </c>
      <c r="M230" s="5">
        <f t="shared" si="25"/>
        <v>20.369221732745963</v>
      </c>
      <c r="N230" t="s">
        <v>670</v>
      </c>
      <c r="O230">
        <f t="shared" si="26"/>
        <v>859.8</v>
      </c>
      <c r="P230">
        <f t="shared" si="27"/>
        <v>136.98505307488986</v>
      </c>
    </row>
    <row r="231" spans="1:16" ht="15.75" thickBot="1" x14ac:dyDescent="0.3">
      <c r="A231" t="str">
        <f t="shared" si="21"/>
        <v>GOOD</v>
      </c>
      <c r="B231" s="1">
        <v>1230</v>
      </c>
      <c r="C231" s="1">
        <v>1230611</v>
      </c>
      <c r="D231" s="1">
        <v>6</v>
      </c>
      <c r="E231" s="1">
        <v>11</v>
      </c>
      <c r="F231" s="1" t="s">
        <v>323</v>
      </c>
      <c r="G231" s="1" t="s">
        <v>93</v>
      </c>
      <c r="H231" s="1">
        <v>15</v>
      </c>
      <c r="I231" s="1">
        <f t="shared" si="22"/>
        <v>1.5495867768595042E-3</v>
      </c>
      <c r="J231" s="2">
        <v>1113.5999999999999</v>
      </c>
      <c r="K231" s="3">
        <f t="shared" si="23"/>
        <v>2.4528634361233479</v>
      </c>
      <c r="L231" s="5">
        <f t="shared" si="24"/>
        <v>1582.9145374449338</v>
      </c>
      <c r="M231" s="5">
        <f t="shared" si="25"/>
        <v>26.381908957415565</v>
      </c>
      <c r="N231" t="s">
        <v>671</v>
      </c>
      <c r="O231">
        <f t="shared" si="26"/>
        <v>1113.5999999999999</v>
      </c>
      <c r="P231">
        <f t="shared" si="27"/>
        <v>177.42097592951541</v>
      </c>
    </row>
    <row r="232" spans="1:16" ht="15.75" thickBot="1" x14ac:dyDescent="0.3">
      <c r="A232" t="str">
        <f t="shared" si="21"/>
        <v>GOOD</v>
      </c>
      <c r="B232" s="1">
        <v>1231</v>
      </c>
      <c r="C232" s="1">
        <v>1231610</v>
      </c>
      <c r="D232" s="1">
        <v>6</v>
      </c>
      <c r="E232" s="1">
        <v>10</v>
      </c>
      <c r="F232" s="1" t="s">
        <v>72</v>
      </c>
      <c r="G232" s="1" t="s">
        <v>324</v>
      </c>
      <c r="H232" s="1">
        <v>15</v>
      </c>
      <c r="I232" s="1">
        <f t="shared" si="22"/>
        <v>1.5495867768595042E-3</v>
      </c>
      <c r="J232" s="2">
        <v>708.5</v>
      </c>
      <c r="K232" s="3">
        <f t="shared" si="23"/>
        <v>1.5605726872246697</v>
      </c>
      <c r="L232" s="5">
        <f t="shared" si="24"/>
        <v>1007.0895741556535</v>
      </c>
      <c r="M232" s="5">
        <f t="shared" si="25"/>
        <v>16.784826235927557</v>
      </c>
      <c r="N232" t="s">
        <v>672</v>
      </c>
      <c r="O232">
        <f t="shared" si="26"/>
        <v>708.5</v>
      </c>
      <c r="P232">
        <f t="shared" si="27"/>
        <v>112.87963491923642</v>
      </c>
    </row>
    <row r="233" spans="1:16" ht="15.75" thickBot="1" x14ac:dyDescent="0.3">
      <c r="A233" t="str">
        <f t="shared" si="21"/>
        <v>GOOD</v>
      </c>
      <c r="B233" s="1">
        <v>1232</v>
      </c>
      <c r="C233" s="1">
        <v>123269</v>
      </c>
      <c r="D233" s="1">
        <v>6</v>
      </c>
      <c r="E233" s="1">
        <v>9</v>
      </c>
      <c r="F233" s="1" t="s">
        <v>325</v>
      </c>
      <c r="G233" s="1" t="s">
        <v>326</v>
      </c>
      <c r="H233" s="1">
        <v>15</v>
      </c>
      <c r="I233" s="1">
        <f t="shared" si="22"/>
        <v>1.5495867768595042E-3</v>
      </c>
      <c r="J233" s="2">
        <v>1040.9000000000001</v>
      </c>
      <c r="K233" s="3">
        <f t="shared" si="23"/>
        <v>2.29273127753304</v>
      </c>
      <c r="L233" s="5">
        <f t="shared" si="24"/>
        <v>1479.5759177679884</v>
      </c>
      <c r="M233" s="5">
        <f t="shared" si="25"/>
        <v>24.659598629466473</v>
      </c>
      <c r="N233" t="s">
        <v>673</v>
      </c>
      <c r="O233">
        <f t="shared" si="26"/>
        <v>1040.9000000000001</v>
      </c>
      <c r="P233">
        <f t="shared" si="27"/>
        <v>165.83826674302497</v>
      </c>
    </row>
    <row r="234" spans="1:16" ht="15.75" thickBot="1" x14ac:dyDescent="0.3">
      <c r="A234" t="str">
        <f t="shared" si="21"/>
        <v>GOOD</v>
      </c>
      <c r="B234" s="1">
        <v>1233</v>
      </c>
      <c r="C234" s="1">
        <v>123368</v>
      </c>
      <c r="D234" s="1">
        <v>6</v>
      </c>
      <c r="E234" s="1">
        <v>8</v>
      </c>
      <c r="F234" s="1" t="s">
        <v>123</v>
      </c>
      <c r="G234" s="1" t="s">
        <v>304</v>
      </c>
      <c r="H234" s="1">
        <v>15</v>
      </c>
      <c r="I234" s="1">
        <f t="shared" si="22"/>
        <v>1.5495867768595042E-3</v>
      </c>
      <c r="J234" s="2">
        <v>1156.8</v>
      </c>
      <c r="K234" s="3">
        <f t="shared" si="23"/>
        <v>2.5480176211453744</v>
      </c>
      <c r="L234" s="5">
        <f t="shared" si="24"/>
        <v>1644.3207048458148</v>
      </c>
      <c r="M234" s="5">
        <f t="shared" si="25"/>
        <v>27.405345080763581</v>
      </c>
      <c r="N234" t="s">
        <v>674</v>
      </c>
      <c r="O234">
        <f t="shared" si="26"/>
        <v>1156.8</v>
      </c>
      <c r="P234">
        <f t="shared" si="27"/>
        <v>184.30368620264315</v>
      </c>
    </row>
    <row r="235" spans="1:16" ht="15.75" thickBot="1" x14ac:dyDescent="0.3">
      <c r="A235" t="str">
        <f t="shared" si="21"/>
        <v>GOOD</v>
      </c>
      <c r="B235" s="1">
        <v>1234</v>
      </c>
      <c r="C235" s="1">
        <v>123467</v>
      </c>
      <c r="D235" s="1">
        <v>6</v>
      </c>
      <c r="E235" s="1">
        <v>7</v>
      </c>
      <c r="F235" s="1" t="s">
        <v>170</v>
      </c>
      <c r="G235" s="1" t="s">
        <v>41</v>
      </c>
      <c r="H235" s="1">
        <v>15</v>
      </c>
      <c r="I235" s="1">
        <f t="shared" si="22"/>
        <v>1.5495867768595042E-3</v>
      </c>
      <c r="J235" s="2">
        <v>936.8</v>
      </c>
      <c r="K235" s="3">
        <f t="shared" si="23"/>
        <v>2.0634361233480174</v>
      </c>
      <c r="L235" s="5">
        <f t="shared" si="24"/>
        <v>1331.6041116005872</v>
      </c>
      <c r="M235" s="5">
        <f t="shared" si="25"/>
        <v>22.193401860009786</v>
      </c>
      <c r="N235" t="s">
        <v>675</v>
      </c>
      <c r="O235">
        <f t="shared" si="26"/>
        <v>936.8</v>
      </c>
      <c r="P235">
        <f t="shared" si="27"/>
        <v>149.25284684875183</v>
      </c>
    </row>
    <row r="236" spans="1:16" ht="15.75" thickBot="1" x14ac:dyDescent="0.3">
      <c r="A236" t="str">
        <f t="shared" si="21"/>
        <v>GOOD</v>
      </c>
      <c r="B236" s="1">
        <v>1235</v>
      </c>
      <c r="C236" s="1">
        <v>123566</v>
      </c>
      <c r="D236" s="1">
        <v>6</v>
      </c>
      <c r="E236" s="1">
        <v>6</v>
      </c>
      <c r="F236" s="1" t="s">
        <v>132</v>
      </c>
      <c r="G236" s="1" t="s">
        <v>148</v>
      </c>
      <c r="H236" s="1">
        <v>15</v>
      </c>
      <c r="I236" s="1">
        <f t="shared" si="22"/>
        <v>1.5495867768595042E-3</v>
      </c>
      <c r="J236" s="2">
        <v>1029.5</v>
      </c>
      <c r="K236" s="3">
        <f t="shared" si="23"/>
        <v>2.2676211453744495</v>
      </c>
      <c r="L236" s="5">
        <f t="shared" si="24"/>
        <v>1463.3715124816447</v>
      </c>
      <c r="M236" s="5">
        <f t="shared" si="25"/>
        <v>24.389525208027411</v>
      </c>
      <c r="N236" t="s">
        <v>676</v>
      </c>
      <c r="O236">
        <f t="shared" si="26"/>
        <v>1029.5</v>
      </c>
      <c r="P236">
        <f t="shared" si="27"/>
        <v>164.02199597650514</v>
      </c>
    </row>
    <row r="237" spans="1:16" ht="15.75" thickBot="1" x14ac:dyDescent="0.3">
      <c r="A237" t="str">
        <f t="shared" si="21"/>
        <v>GOOD</v>
      </c>
      <c r="B237" s="1">
        <v>1236</v>
      </c>
      <c r="C237" s="1">
        <v>123665</v>
      </c>
      <c r="D237" s="1">
        <v>6</v>
      </c>
      <c r="E237" s="1">
        <v>5</v>
      </c>
      <c r="F237" s="1" t="s">
        <v>327</v>
      </c>
      <c r="G237" s="1" t="s">
        <v>33</v>
      </c>
      <c r="H237" s="1">
        <v>15</v>
      </c>
      <c r="I237" s="1">
        <f t="shared" si="22"/>
        <v>1.5495867768595042E-3</v>
      </c>
      <c r="J237" s="2">
        <v>1296.0999999999999</v>
      </c>
      <c r="K237" s="3">
        <f t="shared" si="23"/>
        <v>2.8548458149779732</v>
      </c>
      <c r="L237" s="5">
        <f t="shared" si="24"/>
        <v>1842.3271659324521</v>
      </c>
      <c r="M237" s="5">
        <f t="shared" si="25"/>
        <v>30.705452765540869</v>
      </c>
      <c r="N237" t="s">
        <v>677</v>
      </c>
      <c r="O237">
        <f t="shared" si="26"/>
        <v>1296.0999999999999</v>
      </c>
      <c r="P237">
        <f t="shared" si="27"/>
        <v>206.4972403935389</v>
      </c>
    </row>
    <row r="238" spans="1:16" ht="15.75" thickBot="1" x14ac:dyDescent="0.3">
      <c r="A238" t="str">
        <f t="shared" si="21"/>
        <v>GOOD</v>
      </c>
      <c r="B238" s="1">
        <v>1237</v>
      </c>
      <c r="C238" s="1">
        <v>123764</v>
      </c>
      <c r="D238" s="1">
        <v>6</v>
      </c>
      <c r="E238" s="1">
        <v>4</v>
      </c>
      <c r="F238" s="1" t="s">
        <v>184</v>
      </c>
      <c r="G238" s="1" t="s">
        <v>281</v>
      </c>
      <c r="H238" s="1">
        <v>15</v>
      </c>
      <c r="I238" s="1">
        <f t="shared" si="22"/>
        <v>1.5495867768595042E-3</v>
      </c>
      <c r="J238" s="2">
        <v>1058.7</v>
      </c>
      <c r="K238" s="3">
        <f t="shared" si="23"/>
        <v>2.3319383259911897</v>
      </c>
      <c r="L238" s="5">
        <f t="shared" si="24"/>
        <v>1504.8775330396477</v>
      </c>
      <c r="M238" s="5">
        <f t="shared" si="25"/>
        <v>25.081292217327462</v>
      </c>
      <c r="N238" t="s">
        <v>678</v>
      </c>
      <c r="O238">
        <f t="shared" si="26"/>
        <v>1058.7</v>
      </c>
      <c r="P238">
        <f t="shared" si="27"/>
        <v>168.6741982907489</v>
      </c>
    </row>
    <row r="239" spans="1:16" ht="15.75" thickBot="1" x14ac:dyDescent="0.3">
      <c r="A239" t="str">
        <f t="shared" si="21"/>
        <v>GOOD</v>
      </c>
      <c r="B239" s="1">
        <v>1238</v>
      </c>
      <c r="C239" s="1">
        <v>123863</v>
      </c>
      <c r="D239" s="1">
        <v>6</v>
      </c>
      <c r="E239" s="1">
        <v>3</v>
      </c>
      <c r="F239" s="1" t="s">
        <v>305</v>
      </c>
      <c r="G239" s="1" t="s">
        <v>28</v>
      </c>
      <c r="H239" s="1">
        <v>15</v>
      </c>
      <c r="I239" s="1">
        <f t="shared" si="22"/>
        <v>1.5495867768595042E-3</v>
      </c>
      <c r="J239" s="2">
        <v>839</v>
      </c>
      <c r="K239" s="3">
        <f t="shared" si="23"/>
        <v>1.8480176211453745</v>
      </c>
      <c r="L239" s="5">
        <f t="shared" si="24"/>
        <v>1192.5873715124817</v>
      </c>
      <c r="M239" s="5">
        <f t="shared" si="25"/>
        <v>19.876456191874695</v>
      </c>
      <c r="N239" t="s">
        <v>679</v>
      </c>
      <c r="O239">
        <f t="shared" si="26"/>
        <v>839</v>
      </c>
      <c r="P239">
        <f t="shared" si="27"/>
        <v>133.67115553597651</v>
      </c>
    </row>
    <row r="240" spans="1:16" ht="15.75" thickBot="1" x14ac:dyDescent="0.3">
      <c r="A240" t="str">
        <f t="shared" si="21"/>
        <v>GOOD</v>
      </c>
      <c r="B240" s="1">
        <v>1239</v>
      </c>
      <c r="C240" s="1">
        <v>123962</v>
      </c>
      <c r="D240" s="1">
        <v>6</v>
      </c>
      <c r="E240" s="1">
        <v>2</v>
      </c>
      <c r="F240" s="1" t="s">
        <v>264</v>
      </c>
      <c r="G240" s="1" t="s">
        <v>328</v>
      </c>
      <c r="H240" s="1">
        <v>15</v>
      </c>
      <c r="I240" s="1">
        <f t="shared" si="22"/>
        <v>1.5495867768595042E-3</v>
      </c>
      <c r="J240" s="2">
        <v>652.70000000000005</v>
      </c>
      <c r="K240" s="3">
        <f t="shared" si="23"/>
        <v>1.4376651982378856</v>
      </c>
      <c r="L240" s="5">
        <f t="shared" si="24"/>
        <v>927.7732745961822</v>
      </c>
      <c r="M240" s="5">
        <f t="shared" si="25"/>
        <v>15.46288790993637</v>
      </c>
      <c r="N240" t="s">
        <v>680</v>
      </c>
      <c r="O240">
        <f t="shared" si="26"/>
        <v>652.70000000000005</v>
      </c>
      <c r="P240">
        <f t="shared" si="27"/>
        <v>103.98946748311309</v>
      </c>
    </row>
    <row r="241" spans="1:16" ht="15.75" thickBot="1" x14ac:dyDescent="0.3">
      <c r="A241" t="str">
        <f t="shared" si="21"/>
        <v>GOOD</v>
      </c>
      <c r="B241" s="1">
        <v>1240</v>
      </c>
      <c r="C241" s="1">
        <v>124061</v>
      </c>
      <c r="D241" s="1">
        <v>6</v>
      </c>
      <c r="E241" s="1">
        <v>1</v>
      </c>
      <c r="F241" s="1" t="s">
        <v>329</v>
      </c>
      <c r="G241" s="1" t="s">
        <v>195</v>
      </c>
      <c r="H241" s="1">
        <v>15</v>
      </c>
      <c r="I241" s="1">
        <f t="shared" si="22"/>
        <v>1.5495867768595042E-3</v>
      </c>
      <c r="J241" s="2">
        <v>561.4</v>
      </c>
      <c r="K241" s="3">
        <f t="shared" si="23"/>
        <v>1.2365638766519824</v>
      </c>
      <c r="L241" s="5">
        <f t="shared" si="24"/>
        <v>797.99588839941259</v>
      </c>
      <c r="M241" s="5">
        <f t="shared" si="25"/>
        <v>13.299931473323543</v>
      </c>
      <c r="N241" t="s">
        <v>681</v>
      </c>
      <c r="O241">
        <f t="shared" si="26"/>
        <v>561.4</v>
      </c>
      <c r="P241">
        <f t="shared" si="27"/>
        <v>89.443369151248163</v>
      </c>
    </row>
    <row r="242" spans="1:16" ht="15.75" thickBot="1" x14ac:dyDescent="0.3">
      <c r="A242" t="str">
        <f t="shared" si="21"/>
        <v>GOOD</v>
      </c>
      <c r="B242" s="1">
        <v>1241</v>
      </c>
      <c r="C242" s="1">
        <v>124171</v>
      </c>
      <c r="D242" s="1">
        <v>7</v>
      </c>
      <c r="E242" s="1">
        <v>1</v>
      </c>
      <c r="F242" s="1" t="s">
        <v>323</v>
      </c>
      <c r="G242" s="1" t="s">
        <v>279</v>
      </c>
      <c r="H242" s="1">
        <v>14.5</v>
      </c>
      <c r="I242" s="1">
        <f t="shared" si="22"/>
        <v>1.4979338842975207E-3</v>
      </c>
      <c r="J242" s="2">
        <v>789.8</v>
      </c>
      <c r="K242" s="3">
        <f t="shared" si="23"/>
        <v>1.7396475770925108</v>
      </c>
      <c r="L242" s="5">
        <f t="shared" si="24"/>
        <v>1161.3647273279657</v>
      </c>
      <c r="M242" s="5">
        <f t="shared" si="25"/>
        <v>19.356078788799429</v>
      </c>
      <c r="N242" t="s">
        <v>682</v>
      </c>
      <c r="O242">
        <f t="shared" si="26"/>
        <v>789.8</v>
      </c>
      <c r="P242">
        <f t="shared" si="27"/>
        <v>130.17156546255504</v>
      </c>
    </row>
    <row r="243" spans="1:16" ht="15.75" thickBot="1" x14ac:dyDescent="0.3">
      <c r="A243" t="str">
        <f t="shared" si="21"/>
        <v>GOOD</v>
      </c>
      <c r="B243" s="1">
        <v>1242</v>
      </c>
      <c r="C243" s="1">
        <v>124272</v>
      </c>
      <c r="D243" s="1">
        <v>7</v>
      </c>
      <c r="E243" s="1">
        <v>2</v>
      </c>
      <c r="F243" s="1" t="s">
        <v>102</v>
      </c>
      <c r="G243" s="1" t="s">
        <v>18</v>
      </c>
      <c r="H243" s="1">
        <v>14.5</v>
      </c>
      <c r="I243" s="1">
        <f t="shared" si="22"/>
        <v>1.4979338842975207E-3</v>
      </c>
      <c r="J243" s="2">
        <v>573.9</v>
      </c>
      <c r="K243" s="3">
        <f t="shared" si="23"/>
        <v>1.2640969162995594</v>
      </c>
      <c r="L243" s="5">
        <f t="shared" si="24"/>
        <v>843.89366550205068</v>
      </c>
      <c r="M243" s="5">
        <f t="shared" si="25"/>
        <v>14.064894425034177</v>
      </c>
      <c r="N243" t="s">
        <v>683</v>
      </c>
      <c r="O243">
        <f t="shared" si="26"/>
        <v>573.9</v>
      </c>
      <c r="P243">
        <f t="shared" si="27"/>
        <v>94.58782149779735</v>
      </c>
    </row>
    <row r="244" spans="1:16" ht="15.75" thickBot="1" x14ac:dyDescent="0.3">
      <c r="A244" t="str">
        <f t="shared" si="21"/>
        <v>GOOD</v>
      </c>
      <c r="B244" s="1">
        <v>1243</v>
      </c>
      <c r="C244" s="1">
        <v>124373</v>
      </c>
      <c r="D244" s="1">
        <v>7</v>
      </c>
      <c r="E244" s="1">
        <v>3</v>
      </c>
      <c r="F244" s="1" t="s">
        <v>330</v>
      </c>
      <c r="G244" s="1" t="s">
        <v>331</v>
      </c>
      <c r="H244" s="1">
        <v>14.5</v>
      </c>
      <c r="I244" s="1">
        <f t="shared" si="22"/>
        <v>1.4979338842975207E-3</v>
      </c>
      <c r="J244" s="2">
        <v>700.8</v>
      </c>
      <c r="K244" s="3">
        <f t="shared" si="23"/>
        <v>1.5436123348017621</v>
      </c>
      <c r="L244" s="5">
        <f t="shared" si="24"/>
        <v>1030.4943035090384</v>
      </c>
      <c r="M244" s="5">
        <f t="shared" si="25"/>
        <v>17.174905058483976</v>
      </c>
      <c r="N244" t="s">
        <v>684</v>
      </c>
      <c r="O244">
        <f t="shared" si="26"/>
        <v>700.8</v>
      </c>
      <c r="P244">
        <f t="shared" si="27"/>
        <v>115.50295400881058</v>
      </c>
    </row>
    <row r="245" spans="1:16" ht="15.75" thickBot="1" x14ac:dyDescent="0.3">
      <c r="A245" t="str">
        <f t="shared" si="21"/>
        <v>GOOD</v>
      </c>
      <c r="B245" s="1">
        <v>1244</v>
      </c>
      <c r="C245" s="1">
        <v>124474</v>
      </c>
      <c r="D245" s="1">
        <v>7</v>
      </c>
      <c r="E245" s="1">
        <v>4</v>
      </c>
      <c r="F245" s="1" t="s">
        <v>280</v>
      </c>
      <c r="G245" s="1" t="s">
        <v>332</v>
      </c>
      <c r="H245" s="1">
        <v>14.5</v>
      </c>
      <c r="I245" s="1">
        <f t="shared" si="22"/>
        <v>1.4979338842975207E-3</v>
      </c>
      <c r="J245" s="2">
        <v>796</v>
      </c>
      <c r="K245" s="3">
        <f t="shared" si="23"/>
        <v>1.7533039647577093</v>
      </c>
      <c r="L245" s="5">
        <f t="shared" si="24"/>
        <v>1170.4815433692845</v>
      </c>
      <c r="M245" s="5">
        <f t="shared" si="25"/>
        <v>19.508025722821408</v>
      </c>
      <c r="N245" t="s">
        <v>685</v>
      </c>
      <c r="O245">
        <f t="shared" si="26"/>
        <v>796</v>
      </c>
      <c r="P245">
        <f t="shared" si="27"/>
        <v>131.19342378854626</v>
      </c>
    </row>
    <row r="246" spans="1:16" ht="15.75" thickBot="1" x14ac:dyDescent="0.3">
      <c r="A246" t="str">
        <f t="shared" si="21"/>
        <v>GOOD</v>
      </c>
      <c r="B246" s="1">
        <v>1245</v>
      </c>
      <c r="C246" s="1">
        <v>124575</v>
      </c>
      <c r="D246" s="1">
        <v>7</v>
      </c>
      <c r="E246" s="1">
        <v>5</v>
      </c>
      <c r="F246" s="1" t="s">
        <v>333</v>
      </c>
      <c r="G246" s="1" t="s">
        <v>292</v>
      </c>
      <c r="H246" s="1">
        <v>14.5</v>
      </c>
      <c r="I246" s="1">
        <f t="shared" si="22"/>
        <v>1.4979338842975207E-3</v>
      </c>
      <c r="J246" s="2">
        <v>649.4</v>
      </c>
      <c r="K246" s="3">
        <f t="shared" si="23"/>
        <v>1.4303964757709251</v>
      </c>
      <c r="L246" s="5">
        <f t="shared" si="24"/>
        <v>954.91295761810716</v>
      </c>
      <c r="M246" s="5">
        <f t="shared" si="25"/>
        <v>15.915215960301786</v>
      </c>
      <c r="N246" t="s">
        <v>686</v>
      </c>
      <c r="O246">
        <f t="shared" si="26"/>
        <v>649.4</v>
      </c>
      <c r="P246">
        <f t="shared" si="27"/>
        <v>107.03141885462554</v>
      </c>
    </row>
    <row r="247" spans="1:16" ht="15.75" thickBot="1" x14ac:dyDescent="0.3">
      <c r="A247" t="str">
        <f t="shared" si="21"/>
        <v>GOOD</v>
      </c>
      <c r="B247" s="1">
        <v>1246</v>
      </c>
      <c r="C247" s="1">
        <v>124676</v>
      </c>
      <c r="D247" s="1">
        <v>7</v>
      </c>
      <c r="E247" s="1">
        <v>6</v>
      </c>
      <c r="F247" s="1" t="s">
        <v>61</v>
      </c>
      <c r="G247" s="1" t="s">
        <v>334</v>
      </c>
      <c r="H247" s="1">
        <v>14.5</v>
      </c>
      <c r="I247" s="1">
        <f t="shared" si="22"/>
        <v>1.4979338842975207E-3</v>
      </c>
      <c r="J247" s="2">
        <v>858.2</v>
      </c>
      <c r="K247" s="3">
        <f t="shared" si="23"/>
        <v>1.8903083700440531</v>
      </c>
      <c r="L247" s="5">
        <f t="shared" si="24"/>
        <v>1261.9437946225125</v>
      </c>
      <c r="M247" s="5">
        <f t="shared" si="25"/>
        <v>21.032396577041876</v>
      </c>
      <c r="N247" t="s">
        <v>687</v>
      </c>
      <c r="O247">
        <f t="shared" si="26"/>
        <v>858.2</v>
      </c>
      <c r="P247">
        <f t="shared" si="27"/>
        <v>141.44497022026431</v>
      </c>
    </row>
    <row r="248" spans="1:16" ht="15.75" thickBot="1" x14ac:dyDescent="0.3">
      <c r="A248" t="str">
        <f t="shared" si="21"/>
        <v>GOOD</v>
      </c>
      <c r="B248" s="1">
        <v>1247</v>
      </c>
      <c r="C248" s="1">
        <v>124777</v>
      </c>
      <c r="D248" s="1">
        <v>7</v>
      </c>
      <c r="E248" s="1">
        <v>7</v>
      </c>
      <c r="F248" s="1" t="s">
        <v>335</v>
      </c>
      <c r="G248" s="1" t="s">
        <v>231</v>
      </c>
      <c r="H248" s="1">
        <v>14.5</v>
      </c>
      <c r="I248" s="1">
        <f t="shared" si="22"/>
        <v>1.4979338842975207E-3</v>
      </c>
      <c r="J248" s="2">
        <v>665.9</v>
      </c>
      <c r="K248" s="3">
        <f t="shared" si="23"/>
        <v>1.4667400881057269</v>
      </c>
      <c r="L248" s="5">
        <f t="shared" si="24"/>
        <v>979.17545192161617</v>
      </c>
      <c r="M248" s="5">
        <f t="shared" si="25"/>
        <v>16.319590865360269</v>
      </c>
      <c r="N248" t="s">
        <v>688</v>
      </c>
      <c r="O248">
        <f t="shared" si="26"/>
        <v>665.9</v>
      </c>
      <c r="P248">
        <f t="shared" si="27"/>
        <v>109.75088052863435</v>
      </c>
    </row>
    <row r="249" spans="1:16" ht="15.75" thickBot="1" x14ac:dyDescent="0.3">
      <c r="A249" t="str">
        <f t="shared" si="21"/>
        <v>GOOD</v>
      </c>
      <c r="B249" s="1">
        <v>1248</v>
      </c>
      <c r="C249" s="1">
        <v>124878</v>
      </c>
      <c r="D249" s="1">
        <v>7</v>
      </c>
      <c r="E249" s="1">
        <v>8</v>
      </c>
      <c r="F249" s="1" t="s">
        <v>36</v>
      </c>
      <c r="G249" s="1" t="s">
        <v>60</v>
      </c>
      <c r="H249" s="1">
        <v>14.5</v>
      </c>
      <c r="I249" s="1">
        <f t="shared" si="22"/>
        <v>1.4979338842975207E-3</v>
      </c>
      <c r="J249" s="2">
        <v>997.3</v>
      </c>
      <c r="K249" s="3">
        <f t="shared" si="23"/>
        <v>2.1966960352422906</v>
      </c>
      <c r="L249" s="5">
        <f t="shared" si="24"/>
        <v>1466.4839738720946</v>
      </c>
      <c r="M249" s="5">
        <f t="shared" si="25"/>
        <v>24.441399564534908</v>
      </c>
      <c r="N249" t="s">
        <v>689</v>
      </c>
      <c r="O249">
        <f t="shared" si="26"/>
        <v>997.3</v>
      </c>
      <c r="P249">
        <f t="shared" si="27"/>
        <v>164.37085621145371</v>
      </c>
    </row>
    <row r="250" spans="1:16" ht="15.75" thickBot="1" x14ac:dyDescent="0.3">
      <c r="A250" t="str">
        <f t="shared" si="21"/>
        <v>GOOD</v>
      </c>
      <c r="B250" s="1">
        <v>1249</v>
      </c>
      <c r="C250" s="1">
        <v>124979</v>
      </c>
      <c r="D250" s="1">
        <v>7</v>
      </c>
      <c r="E250" s="1">
        <v>9</v>
      </c>
      <c r="F250" s="1" t="s">
        <v>336</v>
      </c>
      <c r="G250" s="1" t="s">
        <v>337</v>
      </c>
      <c r="H250" s="1">
        <v>14.5</v>
      </c>
      <c r="I250" s="1">
        <f t="shared" si="22"/>
        <v>1.4979338842975207E-3</v>
      </c>
      <c r="J250" s="2">
        <v>1060.4000000000001</v>
      </c>
      <c r="K250" s="3">
        <f t="shared" si="23"/>
        <v>2.3356828193832602</v>
      </c>
      <c r="L250" s="5">
        <f t="shared" si="24"/>
        <v>1559.2696339055142</v>
      </c>
      <c r="M250" s="5">
        <f t="shared" si="25"/>
        <v>25.987827231758569</v>
      </c>
      <c r="N250" t="s">
        <v>690</v>
      </c>
      <c r="O250">
        <f t="shared" si="26"/>
        <v>1060.4000000000001</v>
      </c>
      <c r="P250">
        <f t="shared" si="27"/>
        <v>174.77073691629957</v>
      </c>
    </row>
    <row r="251" spans="1:16" ht="15.75" thickBot="1" x14ac:dyDescent="0.3">
      <c r="A251" t="str">
        <f t="shared" si="21"/>
        <v>GOOD</v>
      </c>
      <c r="B251" s="1">
        <v>1250</v>
      </c>
      <c r="C251" s="1">
        <v>1250710</v>
      </c>
      <c r="D251" s="1">
        <v>7</v>
      </c>
      <c r="E251" s="1">
        <v>10</v>
      </c>
      <c r="F251" s="1" t="s">
        <v>338</v>
      </c>
      <c r="G251" s="1" t="s">
        <v>126</v>
      </c>
      <c r="H251" s="1">
        <v>14.5</v>
      </c>
      <c r="I251" s="1">
        <f t="shared" si="22"/>
        <v>1.4979338842975207E-3</v>
      </c>
      <c r="J251" s="2">
        <v>936.6</v>
      </c>
      <c r="K251" s="3">
        <f t="shared" si="23"/>
        <v>2.0629955947136565</v>
      </c>
      <c r="L251" s="5">
        <f t="shared" si="24"/>
        <v>1377.2274039191857</v>
      </c>
      <c r="M251" s="5">
        <f t="shared" si="25"/>
        <v>22.953790065319762</v>
      </c>
      <c r="N251" t="s">
        <v>691</v>
      </c>
      <c r="O251">
        <f t="shared" si="26"/>
        <v>936.6</v>
      </c>
      <c r="P251">
        <f t="shared" si="27"/>
        <v>154.36653356828194</v>
      </c>
    </row>
    <row r="252" spans="1:16" ht="15.75" thickBot="1" x14ac:dyDescent="0.3">
      <c r="A252" t="str">
        <f t="shared" si="21"/>
        <v>GOOD</v>
      </c>
      <c r="B252" s="1">
        <v>1251</v>
      </c>
      <c r="C252" s="1">
        <v>1251711</v>
      </c>
      <c r="D252" s="1">
        <v>7</v>
      </c>
      <c r="E252" s="1">
        <v>11</v>
      </c>
      <c r="F252" s="1" t="s">
        <v>220</v>
      </c>
      <c r="G252" s="1" t="s">
        <v>339</v>
      </c>
      <c r="H252" s="1">
        <v>14.5</v>
      </c>
      <c r="I252" s="1">
        <f t="shared" si="22"/>
        <v>1.4979338842975207E-3</v>
      </c>
      <c r="J252" s="2">
        <v>890.7</v>
      </c>
      <c r="K252" s="3">
        <f t="shared" si="23"/>
        <v>1.9618942731277533</v>
      </c>
      <c r="L252" s="5">
        <f t="shared" si="24"/>
        <v>1309.7335561294242</v>
      </c>
      <c r="M252" s="5">
        <f t="shared" si="25"/>
        <v>21.828892602157069</v>
      </c>
      <c r="N252" t="s">
        <v>692</v>
      </c>
      <c r="O252">
        <f t="shared" si="26"/>
        <v>890.7</v>
      </c>
      <c r="P252">
        <f t="shared" si="27"/>
        <v>146.80148563876651</v>
      </c>
    </row>
    <row r="253" spans="1:16" ht="15.75" thickBot="1" x14ac:dyDescent="0.3">
      <c r="A253" t="str">
        <f t="shared" si="21"/>
        <v>GOOD</v>
      </c>
      <c r="B253" s="1">
        <v>1252</v>
      </c>
      <c r="C253" s="1">
        <v>1252712</v>
      </c>
      <c r="D253" s="1">
        <v>7</v>
      </c>
      <c r="E253" s="1">
        <v>12</v>
      </c>
      <c r="F253" s="1" t="s">
        <v>282</v>
      </c>
      <c r="G253" s="1" t="s">
        <v>222</v>
      </c>
      <c r="H253" s="1">
        <v>14.5</v>
      </c>
      <c r="I253" s="1">
        <f t="shared" si="22"/>
        <v>1.4979338842975207E-3</v>
      </c>
      <c r="J253" s="2">
        <v>972.6</v>
      </c>
      <c r="K253" s="3">
        <f t="shared" si="23"/>
        <v>2.1422907488986787</v>
      </c>
      <c r="L253" s="5">
        <f t="shared" si="24"/>
        <v>1430.163755126842</v>
      </c>
      <c r="M253" s="5">
        <f t="shared" si="25"/>
        <v>23.836062585447369</v>
      </c>
      <c r="N253" t="s">
        <v>693</v>
      </c>
      <c r="O253">
        <f t="shared" si="26"/>
        <v>972.6</v>
      </c>
      <c r="P253">
        <f t="shared" si="27"/>
        <v>160.29990449339209</v>
      </c>
    </row>
    <row r="254" spans="1:16" ht="15.75" thickBot="1" x14ac:dyDescent="0.3">
      <c r="A254" t="str">
        <f t="shared" si="21"/>
        <v>GOOD</v>
      </c>
      <c r="B254" s="1">
        <v>1253</v>
      </c>
      <c r="C254" s="1">
        <v>1253713</v>
      </c>
      <c r="D254" s="1">
        <v>7</v>
      </c>
      <c r="E254" s="1">
        <v>13</v>
      </c>
      <c r="F254" s="1" t="s">
        <v>340</v>
      </c>
      <c r="G254" s="1" t="s">
        <v>341</v>
      </c>
      <c r="H254" s="1">
        <v>14.5</v>
      </c>
      <c r="I254" s="1">
        <f t="shared" si="22"/>
        <v>1.4979338842975207E-3</v>
      </c>
      <c r="J254" s="2">
        <v>1033.8</v>
      </c>
      <c r="K254" s="3">
        <f t="shared" si="23"/>
        <v>2.2770925110132159</v>
      </c>
      <c r="L254" s="5">
        <f t="shared" si="24"/>
        <v>1520.1555521798571</v>
      </c>
      <c r="M254" s="5">
        <f t="shared" si="25"/>
        <v>25.335925869664283</v>
      </c>
      <c r="N254" t="s">
        <v>694</v>
      </c>
      <c r="O254">
        <f t="shared" si="26"/>
        <v>1033.8</v>
      </c>
      <c r="P254">
        <f t="shared" si="27"/>
        <v>170.38663506607929</v>
      </c>
    </row>
    <row r="255" spans="1:16" ht="15.75" thickBot="1" x14ac:dyDescent="0.3">
      <c r="A255" t="str">
        <f t="shared" si="21"/>
        <v>GOOD</v>
      </c>
      <c r="B255" s="1">
        <v>1254</v>
      </c>
      <c r="C255" s="1">
        <v>1254714</v>
      </c>
      <c r="D255" s="1">
        <v>7</v>
      </c>
      <c r="E255" s="1">
        <v>14</v>
      </c>
      <c r="F255" s="1" t="s">
        <v>156</v>
      </c>
      <c r="G255" s="1" t="s">
        <v>308</v>
      </c>
      <c r="H255" s="1">
        <v>14.5</v>
      </c>
      <c r="I255" s="1">
        <f t="shared" si="22"/>
        <v>1.4979338842975207E-3</v>
      </c>
      <c r="J255" s="2">
        <v>985.6</v>
      </c>
      <c r="K255" s="3">
        <f t="shared" si="23"/>
        <v>2.1709251101321585</v>
      </c>
      <c r="L255" s="5">
        <f t="shared" si="24"/>
        <v>1449.2796597296065</v>
      </c>
      <c r="M255" s="5">
        <f t="shared" si="25"/>
        <v>24.15466099549344</v>
      </c>
      <c r="N255" t="s">
        <v>695</v>
      </c>
      <c r="O255">
        <f t="shared" si="26"/>
        <v>985.6</v>
      </c>
      <c r="P255">
        <f t="shared" si="27"/>
        <v>162.44251066079295</v>
      </c>
    </row>
    <row r="256" spans="1:16" ht="15.75" thickBot="1" x14ac:dyDescent="0.3">
      <c r="A256" t="str">
        <f t="shared" si="21"/>
        <v>GOOD</v>
      </c>
      <c r="B256" s="1">
        <v>1255</v>
      </c>
      <c r="C256" s="1">
        <v>1255715</v>
      </c>
      <c r="D256" s="1">
        <v>7</v>
      </c>
      <c r="E256" s="1">
        <v>15</v>
      </c>
      <c r="F256" s="1" t="s">
        <v>159</v>
      </c>
      <c r="G256" s="1" t="s">
        <v>342</v>
      </c>
      <c r="H256" s="1">
        <v>14.5</v>
      </c>
      <c r="I256" s="1">
        <f t="shared" si="22"/>
        <v>1.4979338842975207E-3</v>
      </c>
      <c r="J256" s="2">
        <v>690.9</v>
      </c>
      <c r="K256" s="3">
        <f t="shared" si="23"/>
        <v>1.5218061674008809</v>
      </c>
      <c r="L256" s="5">
        <f t="shared" si="24"/>
        <v>1015.9368069269328</v>
      </c>
      <c r="M256" s="5">
        <f t="shared" si="25"/>
        <v>16.932280115448879</v>
      </c>
      <c r="N256" t="s">
        <v>696</v>
      </c>
      <c r="O256">
        <f t="shared" si="26"/>
        <v>690.9</v>
      </c>
      <c r="P256">
        <f t="shared" si="27"/>
        <v>113.87127700440527</v>
      </c>
    </row>
    <row r="257" spans="1:16" ht="15.75" thickBot="1" x14ac:dyDescent="0.3">
      <c r="A257" t="str">
        <f t="shared" si="21"/>
        <v>GOOD</v>
      </c>
      <c r="B257" s="1">
        <v>1256</v>
      </c>
      <c r="C257" s="1">
        <v>1256716</v>
      </c>
      <c r="D257" s="1">
        <v>7</v>
      </c>
      <c r="E257" s="1">
        <v>16</v>
      </c>
      <c r="F257" s="1" t="s">
        <v>343</v>
      </c>
      <c r="G257" s="1" t="s">
        <v>344</v>
      </c>
      <c r="H257" s="1">
        <v>14.5</v>
      </c>
      <c r="I257" s="1">
        <f t="shared" si="22"/>
        <v>1.4979338842975207E-3</v>
      </c>
      <c r="J257" s="2">
        <v>866.3</v>
      </c>
      <c r="K257" s="3">
        <f t="shared" si="23"/>
        <v>1.9081497797356828</v>
      </c>
      <c r="L257" s="5">
        <f t="shared" si="24"/>
        <v>1273.854473644235</v>
      </c>
      <c r="M257" s="5">
        <f t="shared" si="25"/>
        <v>21.230907894070583</v>
      </c>
      <c r="N257" t="s">
        <v>697</v>
      </c>
      <c r="O257">
        <f t="shared" si="26"/>
        <v>866.3</v>
      </c>
      <c r="P257">
        <f t="shared" si="27"/>
        <v>142.7799786784141</v>
      </c>
    </row>
    <row r="258" spans="1:16" ht="15.75" thickBot="1" x14ac:dyDescent="0.3">
      <c r="A258" t="str">
        <f t="shared" si="21"/>
        <v>GOOD</v>
      </c>
      <c r="B258" s="1">
        <v>1257</v>
      </c>
      <c r="C258" s="1">
        <v>1257717</v>
      </c>
      <c r="D258" s="1">
        <v>7</v>
      </c>
      <c r="E258" s="1">
        <v>17</v>
      </c>
      <c r="F258" s="1" t="s">
        <v>345</v>
      </c>
      <c r="G258" s="1" t="s">
        <v>139</v>
      </c>
      <c r="H258" s="1">
        <v>14.5</v>
      </c>
      <c r="I258" s="1">
        <f t="shared" si="22"/>
        <v>1.4979338842975207E-3</v>
      </c>
      <c r="J258" s="2">
        <v>1283</v>
      </c>
      <c r="K258" s="3">
        <f t="shared" si="23"/>
        <v>2.8259911894273126</v>
      </c>
      <c r="L258" s="5">
        <f t="shared" si="24"/>
        <v>1886.5927388728542</v>
      </c>
      <c r="M258" s="5">
        <f t="shared" si="25"/>
        <v>31.443212314547569</v>
      </c>
      <c r="N258" t="s">
        <v>698</v>
      </c>
      <c r="O258">
        <f t="shared" si="26"/>
        <v>1283</v>
      </c>
      <c r="P258">
        <f t="shared" si="27"/>
        <v>211.45874713656386</v>
      </c>
    </row>
    <row r="259" spans="1:16" ht="15.75" thickBot="1" x14ac:dyDescent="0.3">
      <c r="A259" t="str">
        <f t="shared" ref="A259:A322" si="28">IF((B259+3000)=VALUE(RIGHT(N259,4)),"GOOD","ERROR")</f>
        <v>GOOD</v>
      </c>
      <c r="B259" s="1">
        <v>1258</v>
      </c>
      <c r="C259" s="1">
        <v>1258718</v>
      </c>
      <c r="D259" s="1">
        <v>7</v>
      </c>
      <c r="E259" s="1">
        <v>18</v>
      </c>
      <c r="F259" s="1" t="s">
        <v>162</v>
      </c>
      <c r="G259" s="1" t="s">
        <v>346</v>
      </c>
      <c r="H259" s="1">
        <v>14.5</v>
      </c>
      <c r="I259" s="1">
        <f t="shared" ref="I259:I322" si="29">H259*4.5/43560</f>
        <v>1.4979338842975207E-3</v>
      </c>
      <c r="J259" s="2">
        <v>1082.2</v>
      </c>
      <c r="K259" s="3">
        <f t="shared" ref="K259:K322" si="30">J259/454</f>
        <v>2.3837004405286346</v>
      </c>
      <c r="L259" s="5">
        <f t="shared" ref="L259:L322" si="31">K259/I259</f>
        <v>1591.3255354701505</v>
      </c>
      <c r="M259" s="5">
        <f t="shared" ref="M259:M322" si="32">L259/60</f>
        <v>26.52209225783584</v>
      </c>
      <c r="N259" t="s">
        <v>699</v>
      </c>
      <c r="O259">
        <f t="shared" ref="O259:O322" si="33">J259</f>
        <v>1082.2</v>
      </c>
      <c r="P259">
        <f t="shared" ref="P259:P322" si="34">L259*0.112085</f>
        <v>178.36372264317183</v>
      </c>
    </row>
    <row r="260" spans="1:16" ht="15.75" thickBot="1" x14ac:dyDescent="0.3">
      <c r="A260" t="str">
        <f t="shared" si="28"/>
        <v>GOOD</v>
      </c>
      <c r="B260" s="1">
        <v>1259</v>
      </c>
      <c r="C260" s="1">
        <v>1259719</v>
      </c>
      <c r="D260" s="1">
        <v>7</v>
      </c>
      <c r="E260" s="1">
        <v>19</v>
      </c>
      <c r="F260" s="1" t="s">
        <v>294</v>
      </c>
      <c r="G260" s="1" t="s">
        <v>303</v>
      </c>
      <c r="H260" s="1">
        <v>14.5</v>
      </c>
      <c r="I260" s="1">
        <f t="shared" si="29"/>
        <v>1.4979338842975207E-3</v>
      </c>
      <c r="J260" s="2">
        <v>884.2</v>
      </c>
      <c r="K260" s="3">
        <f t="shared" si="30"/>
        <v>1.9475770925110134</v>
      </c>
      <c r="L260" s="5">
        <f t="shared" si="31"/>
        <v>1300.1756038280421</v>
      </c>
      <c r="M260" s="5">
        <f t="shared" si="32"/>
        <v>21.669593397134033</v>
      </c>
      <c r="N260" t="s">
        <v>700</v>
      </c>
      <c r="O260">
        <f t="shared" si="33"/>
        <v>884.2</v>
      </c>
      <c r="P260">
        <f t="shared" si="34"/>
        <v>145.73018255506611</v>
      </c>
    </row>
    <row r="261" spans="1:16" ht="15.75" thickBot="1" x14ac:dyDescent="0.3">
      <c r="A261" t="str">
        <f t="shared" si="28"/>
        <v>GOOD</v>
      </c>
      <c r="B261" s="1">
        <v>1260</v>
      </c>
      <c r="C261" s="1">
        <v>1260720</v>
      </c>
      <c r="D261" s="1">
        <v>7</v>
      </c>
      <c r="E261" s="1">
        <v>20</v>
      </c>
      <c r="F261" s="1" t="s">
        <v>104</v>
      </c>
      <c r="G261" s="1" t="s">
        <v>131</v>
      </c>
      <c r="H261" s="1">
        <v>14.5</v>
      </c>
      <c r="I261" s="1">
        <f t="shared" si="29"/>
        <v>1.4979338842975207E-3</v>
      </c>
      <c r="J261" s="2">
        <v>930.5</v>
      </c>
      <c r="K261" s="3">
        <f t="shared" si="30"/>
        <v>2.0495594713656389</v>
      </c>
      <c r="L261" s="5">
        <f t="shared" si="31"/>
        <v>1368.2576332978886</v>
      </c>
      <c r="M261" s="5">
        <f t="shared" si="32"/>
        <v>22.804293888298144</v>
      </c>
      <c r="N261" t="s">
        <v>701</v>
      </c>
      <c r="O261">
        <f t="shared" si="33"/>
        <v>930.5</v>
      </c>
      <c r="P261">
        <f t="shared" si="34"/>
        <v>153.36115682819386</v>
      </c>
    </row>
    <row r="262" spans="1:16" ht="15.75" thickBot="1" x14ac:dyDescent="0.3">
      <c r="A262" t="str">
        <f t="shared" si="28"/>
        <v>GOOD</v>
      </c>
      <c r="B262" s="1">
        <v>1261</v>
      </c>
      <c r="C262" s="1">
        <v>1261721</v>
      </c>
      <c r="D262" s="1">
        <v>7</v>
      </c>
      <c r="E262" s="1">
        <v>21</v>
      </c>
      <c r="F262" s="1" t="s">
        <v>150</v>
      </c>
      <c r="G262" s="1" t="s">
        <v>347</v>
      </c>
      <c r="H262" s="1">
        <v>14.5</v>
      </c>
      <c r="I262" s="1">
        <f t="shared" si="29"/>
        <v>1.4979338842975207E-3</v>
      </c>
      <c r="J262" s="2">
        <v>702.7</v>
      </c>
      <c r="K262" s="3">
        <f t="shared" si="30"/>
        <v>1.547797356828194</v>
      </c>
      <c r="L262" s="5">
        <f t="shared" si="31"/>
        <v>1033.2881664894426</v>
      </c>
      <c r="M262" s="5">
        <f t="shared" si="32"/>
        <v>17.221469441490708</v>
      </c>
      <c r="N262" t="s">
        <v>702</v>
      </c>
      <c r="O262">
        <f t="shared" si="33"/>
        <v>702.7</v>
      </c>
      <c r="P262">
        <f t="shared" si="34"/>
        <v>115.81610414096917</v>
      </c>
    </row>
    <row r="263" spans="1:16" ht="15.75" thickBot="1" x14ac:dyDescent="0.3">
      <c r="A263" t="str">
        <f t="shared" si="28"/>
        <v>GOOD</v>
      </c>
      <c r="B263" s="1">
        <v>1262</v>
      </c>
      <c r="C263" s="1">
        <v>1262722</v>
      </c>
      <c r="D263" s="1">
        <v>7</v>
      </c>
      <c r="E263" s="1">
        <v>22</v>
      </c>
      <c r="F263" s="1" t="s">
        <v>184</v>
      </c>
      <c r="G263" s="1" t="s">
        <v>281</v>
      </c>
      <c r="H263" s="1">
        <v>14.5</v>
      </c>
      <c r="I263" s="1">
        <f t="shared" si="29"/>
        <v>1.4979338842975207E-3</v>
      </c>
      <c r="J263" s="2">
        <v>828.4</v>
      </c>
      <c r="K263" s="3">
        <f t="shared" si="30"/>
        <v>1.8246696035242291</v>
      </c>
      <c r="L263" s="5">
        <f t="shared" si="31"/>
        <v>1218.124259456175</v>
      </c>
      <c r="M263" s="5">
        <f t="shared" si="32"/>
        <v>20.302070990936251</v>
      </c>
      <c r="N263" t="s">
        <v>703</v>
      </c>
      <c r="O263">
        <f t="shared" si="33"/>
        <v>828.4</v>
      </c>
      <c r="P263">
        <f t="shared" si="34"/>
        <v>136.53345762114537</v>
      </c>
    </row>
    <row r="264" spans="1:16" ht="15.75" thickBot="1" x14ac:dyDescent="0.3">
      <c r="A264" t="str">
        <f t="shared" si="28"/>
        <v>GOOD</v>
      </c>
      <c r="B264" s="1">
        <v>1263</v>
      </c>
      <c r="C264" s="1">
        <v>1263723</v>
      </c>
      <c r="D264" s="1">
        <v>7</v>
      </c>
      <c r="E264" s="1">
        <v>23</v>
      </c>
      <c r="F264" s="1" t="s">
        <v>348</v>
      </c>
      <c r="G264" s="1" t="s">
        <v>349</v>
      </c>
      <c r="H264" s="1">
        <v>14.5</v>
      </c>
      <c r="I264" s="1">
        <f t="shared" si="29"/>
        <v>1.4979338842975207E-3</v>
      </c>
      <c r="J264" s="2">
        <v>497</v>
      </c>
      <c r="K264" s="3">
        <f t="shared" si="30"/>
        <v>1.0947136563876652</v>
      </c>
      <c r="L264" s="5">
        <f t="shared" si="31"/>
        <v>730.81573750569646</v>
      </c>
      <c r="M264" s="5">
        <f t="shared" si="32"/>
        <v>12.180262291761608</v>
      </c>
      <c r="N264" t="s">
        <v>704</v>
      </c>
      <c r="O264">
        <f t="shared" si="33"/>
        <v>497</v>
      </c>
      <c r="P264">
        <f t="shared" si="34"/>
        <v>81.913481938325987</v>
      </c>
    </row>
    <row r="265" spans="1:16" ht="15.75" thickBot="1" x14ac:dyDescent="0.3">
      <c r="A265" t="str">
        <f t="shared" si="28"/>
        <v>GOOD</v>
      </c>
      <c r="B265" s="1">
        <v>1264</v>
      </c>
      <c r="C265" s="1">
        <v>1264724</v>
      </c>
      <c r="D265" s="1">
        <v>7</v>
      </c>
      <c r="E265" s="1">
        <v>24</v>
      </c>
      <c r="F265" s="1" t="s">
        <v>174</v>
      </c>
      <c r="G265" s="1" t="s">
        <v>350</v>
      </c>
      <c r="H265" s="1">
        <v>14.5</v>
      </c>
      <c r="I265" s="1">
        <f t="shared" si="29"/>
        <v>1.4979338842975207E-3</v>
      </c>
      <c r="J265" s="2">
        <v>907.4</v>
      </c>
      <c r="K265" s="3">
        <f t="shared" si="30"/>
        <v>1.9986784140969163</v>
      </c>
      <c r="L265" s="5">
        <f t="shared" si="31"/>
        <v>1334.2901412729757</v>
      </c>
      <c r="M265" s="5">
        <f t="shared" si="32"/>
        <v>22.238169021216262</v>
      </c>
      <c r="N265" t="s">
        <v>705</v>
      </c>
      <c r="O265">
        <f t="shared" si="33"/>
        <v>907.4</v>
      </c>
      <c r="P265">
        <f t="shared" si="34"/>
        <v>149.55391048458148</v>
      </c>
    </row>
    <row r="266" spans="1:16" ht="15.75" thickBot="1" x14ac:dyDescent="0.3">
      <c r="A266" t="str">
        <f t="shared" si="28"/>
        <v>GOOD</v>
      </c>
      <c r="B266" s="1">
        <v>1265</v>
      </c>
      <c r="C266" s="1">
        <v>1265725</v>
      </c>
      <c r="D266" s="1">
        <v>7</v>
      </c>
      <c r="E266" s="1">
        <v>25</v>
      </c>
      <c r="F266" s="1" t="s">
        <v>299</v>
      </c>
      <c r="G266" s="1" t="s">
        <v>351</v>
      </c>
      <c r="H266" s="1">
        <v>14.5</v>
      </c>
      <c r="I266" s="1">
        <f t="shared" si="29"/>
        <v>1.4979338842975207E-3</v>
      </c>
      <c r="J266" s="2">
        <v>739.2</v>
      </c>
      <c r="K266" s="3">
        <f t="shared" si="30"/>
        <v>1.628193832599119</v>
      </c>
      <c r="L266" s="5">
        <f t="shared" si="31"/>
        <v>1086.9597447972048</v>
      </c>
      <c r="M266" s="5">
        <f t="shared" si="32"/>
        <v>18.115995746620079</v>
      </c>
      <c r="N266" t="s">
        <v>706</v>
      </c>
      <c r="O266">
        <f t="shared" si="33"/>
        <v>739.2</v>
      </c>
      <c r="P266">
        <f t="shared" si="34"/>
        <v>121.83188299559471</v>
      </c>
    </row>
    <row r="267" spans="1:16" ht="15.75" thickBot="1" x14ac:dyDescent="0.3">
      <c r="A267" t="str">
        <f t="shared" si="28"/>
        <v>GOOD</v>
      </c>
      <c r="B267" s="1">
        <v>1266</v>
      </c>
      <c r="C267" s="1">
        <v>1266726</v>
      </c>
      <c r="D267" s="1">
        <v>7</v>
      </c>
      <c r="E267" s="1">
        <v>26</v>
      </c>
      <c r="F267" s="1" t="s">
        <v>352</v>
      </c>
      <c r="G267" s="1" t="s">
        <v>244</v>
      </c>
      <c r="H267" s="1">
        <v>14.5</v>
      </c>
      <c r="I267" s="1">
        <f t="shared" si="29"/>
        <v>1.4979338842975207E-3</v>
      </c>
      <c r="J267" s="2">
        <v>744.7</v>
      </c>
      <c r="K267" s="3">
        <f t="shared" si="30"/>
        <v>1.6403083700440531</v>
      </c>
      <c r="L267" s="5">
        <f t="shared" si="31"/>
        <v>1095.0472428983746</v>
      </c>
      <c r="M267" s="5">
        <f t="shared" si="32"/>
        <v>18.250787381639576</v>
      </c>
      <c r="N267" t="s">
        <v>707</v>
      </c>
      <c r="O267">
        <f t="shared" si="33"/>
        <v>744.7</v>
      </c>
      <c r="P267">
        <f t="shared" si="34"/>
        <v>122.73837022026433</v>
      </c>
    </row>
    <row r="268" spans="1:16" ht="15.75" thickBot="1" x14ac:dyDescent="0.3">
      <c r="A268" t="str">
        <f t="shared" si="28"/>
        <v>GOOD</v>
      </c>
      <c r="B268" s="1">
        <v>1267</v>
      </c>
      <c r="C268" s="1">
        <v>1267727</v>
      </c>
      <c r="D268" s="1">
        <v>7</v>
      </c>
      <c r="E268" s="1">
        <v>27</v>
      </c>
      <c r="F268" s="1" t="s">
        <v>353</v>
      </c>
      <c r="G268" s="1" t="s">
        <v>341</v>
      </c>
      <c r="H268" s="1">
        <v>14.5</v>
      </c>
      <c r="I268" s="1">
        <f t="shared" si="29"/>
        <v>1.4979338842975207E-3</v>
      </c>
      <c r="J268" s="2">
        <v>1229.2</v>
      </c>
      <c r="K268" s="3">
        <f t="shared" si="30"/>
        <v>2.7074889867841412</v>
      </c>
      <c r="L268" s="5">
        <f t="shared" si="31"/>
        <v>1807.4823029014128</v>
      </c>
      <c r="M268" s="5">
        <f t="shared" si="32"/>
        <v>30.12470504835688</v>
      </c>
      <c r="N268" t="s">
        <v>708</v>
      </c>
      <c r="O268">
        <f t="shared" si="33"/>
        <v>1229.2</v>
      </c>
      <c r="P268">
        <f t="shared" si="34"/>
        <v>202.59165392070486</v>
      </c>
    </row>
    <row r="269" spans="1:16" ht="15.75" thickBot="1" x14ac:dyDescent="0.3">
      <c r="A269" t="str">
        <f t="shared" si="28"/>
        <v>GOOD</v>
      </c>
      <c r="B269" s="1">
        <v>1268</v>
      </c>
      <c r="C269" s="1">
        <v>1268728</v>
      </c>
      <c r="D269" s="1">
        <v>7</v>
      </c>
      <c r="E269" s="1">
        <v>28</v>
      </c>
      <c r="F269" s="1" t="s">
        <v>201</v>
      </c>
      <c r="G269" s="1" t="s">
        <v>296</v>
      </c>
      <c r="H269" s="1">
        <v>14.5</v>
      </c>
      <c r="I269" s="1">
        <f t="shared" si="29"/>
        <v>1.4979338842975207E-3</v>
      </c>
      <c r="J269" s="2">
        <v>939.5</v>
      </c>
      <c r="K269" s="3">
        <f t="shared" si="30"/>
        <v>2.0693832599118944</v>
      </c>
      <c r="L269" s="5">
        <f t="shared" si="31"/>
        <v>1381.4917210998026</v>
      </c>
      <c r="M269" s="5">
        <f t="shared" si="32"/>
        <v>23.024862018330044</v>
      </c>
      <c r="N269" t="s">
        <v>709</v>
      </c>
      <c r="O269">
        <f t="shared" si="33"/>
        <v>939.5</v>
      </c>
      <c r="P269">
        <f t="shared" si="34"/>
        <v>154.84449955947139</v>
      </c>
    </row>
    <row r="270" spans="1:16" ht="15.75" thickBot="1" x14ac:dyDescent="0.3">
      <c r="A270" t="str">
        <f t="shared" si="28"/>
        <v>GOOD</v>
      </c>
      <c r="B270" s="1">
        <v>1269</v>
      </c>
      <c r="C270" s="1">
        <v>1269729</v>
      </c>
      <c r="D270" s="1">
        <v>7</v>
      </c>
      <c r="E270" s="1">
        <v>29</v>
      </c>
      <c r="F270" s="1" t="s">
        <v>354</v>
      </c>
      <c r="G270" s="1" t="s">
        <v>355</v>
      </c>
      <c r="H270" s="1">
        <v>14.5</v>
      </c>
      <c r="I270" s="1">
        <f t="shared" si="29"/>
        <v>1.4979338842975207E-3</v>
      </c>
      <c r="J270" s="2">
        <v>708.2</v>
      </c>
      <c r="K270" s="3">
        <f t="shared" si="30"/>
        <v>1.5599118942731278</v>
      </c>
      <c r="L270" s="5">
        <f t="shared" si="31"/>
        <v>1041.3756645906121</v>
      </c>
      <c r="M270" s="5">
        <f t="shared" si="32"/>
        <v>17.356261076510201</v>
      </c>
      <c r="N270" t="s">
        <v>710</v>
      </c>
      <c r="O270">
        <f t="shared" si="33"/>
        <v>708.2</v>
      </c>
      <c r="P270">
        <f t="shared" si="34"/>
        <v>116.72259136563876</v>
      </c>
    </row>
    <row r="271" spans="1:16" ht="15.75" thickBot="1" x14ac:dyDescent="0.3">
      <c r="A271" t="str">
        <f t="shared" si="28"/>
        <v>GOOD</v>
      </c>
      <c r="B271" s="1">
        <v>1270</v>
      </c>
      <c r="C271" s="1">
        <v>1270730</v>
      </c>
      <c r="D271" s="1">
        <v>7</v>
      </c>
      <c r="E271" s="1">
        <v>30</v>
      </c>
      <c r="F271" s="1" t="s">
        <v>262</v>
      </c>
      <c r="G271" s="1" t="s">
        <v>301</v>
      </c>
      <c r="H271" s="1">
        <v>14.5</v>
      </c>
      <c r="I271" s="1">
        <f t="shared" si="29"/>
        <v>1.4979338842975207E-3</v>
      </c>
      <c r="J271" s="2">
        <v>891</v>
      </c>
      <c r="K271" s="3">
        <f t="shared" si="30"/>
        <v>1.9625550660792952</v>
      </c>
      <c r="L271" s="5">
        <f t="shared" si="31"/>
        <v>1310.174692389488</v>
      </c>
      <c r="M271" s="5">
        <f t="shared" si="32"/>
        <v>21.836244873158133</v>
      </c>
      <c r="N271" t="s">
        <v>711</v>
      </c>
      <c r="O271">
        <f t="shared" si="33"/>
        <v>891</v>
      </c>
      <c r="P271">
        <f t="shared" si="34"/>
        <v>146.85093039647577</v>
      </c>
    </row>
    <row r="272" spans="1:16" ht="15.75" thickBot="1" x14ac:dyDescent="0.3">
      <c r="A272" t="str">
        <f t="shared" si="28"/>
        <v>GOOD</v>
      </c>
      <c r="B272" s="1">
        <v>1271</v>
      </c>
      <c r="C272" s="1">
        <v>1271731</v>
      </c>
      <c r="D272" s="1">
        <v>7</v>
      </c>
      <c r="E272" s="1">
        <v>31</v>
      </c>
      <c r="F272" s="1" t="s">
        <v>156</v>
      </c>
      <c r="G272" s="1" t="s">
        <v>356</v>
      </c>
      <c r="H272" s="1">
        <v>14.5</v>
      </c>
      <c r="I272" s="1">
        <f t="shared" si="29"/>
        <v>1.4979338842975207E-3</v>
      </c>
      <c r="J272" s="2">
        <v>684</v>
      </c>
      <c r="K272" s="3">
        <f t="shared" si="30"/>
        <v>1.5066079295154184</v>
      </c>
      <c r="L272" s="5">
        <f t="shared" si="31"/>
        <v>1005.7906729454655</v>
      </c>
      <c r="M272" s="5">
        <f t="shared" si="32"/>
        <v>16.763177882424426</v>
      </c>
      <c r="N272" t="s">
        <v>712</v>
      </c>
      <c r="O272">
        <f t="shared" si="33"/>
        <v>684</v>
      </c>
      <c r="P272">
        <f t="shared" si="34"/>
        <v>112.73404757709251</v>
      </c>
    </row>
    <row r="273" spans="1:16" ht="15.75" thickBot="1" x14ac:dyDescent="0.3">
      <c r="A273" t="str">
        <f t="shared" si="28"/>
        <v>GOOD</v>
      </c>
      <c r="B273" s="1">
        <v>1272</v>
      </c>
      <c r="C273" s="1">
        <v>1272732</v>
      </c>
      <c r="D273" s="1">
        <v>7</v>
      </c>
      <c r="E273" s="1">
        <v>32</v>
      </c>
      <c r="F273" s="1" t="s">
        <v>117</v>
      </c>
      <c r="G273" s="1" t="s">
        <v>107</v>
      </c>
      <c r="H273" s="1">
        <v>14.5</v>
      </c>
      <c r="I273" s="1">
        <f t="shared" si="29"/>
        <v>1.4979338842975207E-3</v>
      </c>
      <c r="J273" s="2">
        <v>1052.4000000000001</v>
      </c>
      <c r="K273" s="3">
        <f t="shared" si="30"/>
        <v>2.3180616740088107</v>
      </c>
      <c r="L273" s="5">
        <f t="shared" si="31"/>
        <v>1547.5060003038129</v>
      </c>
      <c r="M273" s="5">
        <f t="shared" si="32"/>
        <v>25.791766671730215</v>
      </c>
      <c r="N273" t="s">
        <v>713</v>
      </c>
      <c r="O273">
        <f t="shared" si="33"/>
        <v>1052.4000000000001</v>
      </c>
      <c r="P273">
        <f t="shared" si="34"/>
        <v>173.45221004405289</v>
      </c>
    </row>
    <row r="274" spans="1:16" ht="15.75" thickBot="1" x14ac:dyDescent="0.3">
      <c r="A274" t="str">
        <f t="shared" si="28"/>
        <v>GOOD</v>
      </c>
      <c r="B274" s="1">
        <v>1273</v>
      </c>
      <c r="C274" s="1">
        <v>1273733</v>
      </c>
      <c r="D274" s="1">
        <v>7</v>
      </c>
      <c r="E274" s="1">
        <v>33</v>
      </c>
      <c r="F274" s="1" t="s">
        <v>329</v>
      </c>
      <c r="G274" s="1" t="s">
        <v>357</v>
      </c>
      <c r="H274" s="1">
        <v>14.5</v>
      </c>
      <c r="I274" s="1">
        <f t="shared" si="29"/>
        <v>1.4979338842975207E-3</v>
      </c>
      <c r="J274" s="2">
        <v>981.1</v>
      </c>
      <c r="K274" s="3">
        <f t="shared" si="30"/>
        <v>2.1610132158590307</v>
      </c>
      <c r="L274" s="5">
        <f t="shared" si="31"/>
        <v>1442.6626158286495</v>
      </c>
      <c r="M274" s="5">
        <f t="shared" si="32"/>
        <v>24.04437693047749</v>
      </c>
      <c r="N274" t="s">
        <v>714</v>
      </c>
      <c r="O274">
        <f t="shared" si="33"/>
        <v>981.1</v>
      </c>
      <c r="P274">
        <f t="shared" si="34"/>
        <v>161.70083929515417</v>
      </c>
    </row>
    <row r="275" spans="1:16" ht="15.75" thickBot="1" x14ac:dyDescent="0.3">
      <c r="A275" t="str">
        <f t="shared" si="28"/>
        <v>GOOD</v>
      </c>
      <c r="B275" s="1">
        <v>1274</v>
      </c>
      <c r="C275" s="1">
        <v>1274734</v>
      </c>
      <c r="D275" s="1">
        <v>7</v>
      </c>
      <c r="E275" s="1">
        <v>34</v>
      </c>
      <c r="F275" s="1" t="s">
        <v>358</v>
      </c>
      <c r="G275" s="1" t="s">
        <v>359</v>
      </c>
      <c r="H275" s="1">
        <v>14.5</v>
      </c>
      <c r="I275" s="1">
        <f t="shared" si="29"/>
        <v>1.4979338842975207E-3</v>
      </c>
      <c r="J275" s="2">
        <v>771.1</v>
      </c>
      <c r="K275" s="3">
        <f t="shared" si="30"/>
        <v>1.6984581497797357</v>
      </c>
      <c r="L275" s="5">
        <f t="shared" si="31"/>
        <v>1133.8672337839891</v>
      </c>
      <c r="M275" s="5">
        <f t="shared" si="32"/>
        <v>18.897787229733151</v>
      </c>
      <c r="N275" t="s">
        <v>715</v>
      </c>
      <c r="O275">
        <f t="shared" si="33"/>
        <v>771.1</v>
      </c>
      <c r="P275">
        <f t="shared" si="34"/>
        <v>127.08950889867843</v>
      </c>
    </row>
    <row r="276" spans="1:16" ht="15.75" thickBot="1" x14ac:dyDescent="0.3">
      <c r="A276" t="str">
        <f t="shared" si="28"/>
        <v>GOOD</v>
      </c>
      <c r="B276" s="1">
        <v>1275</v>
      </c>
      <c r="C276" s="1">
        <v>1275735</v>
      </c>
      <c r="D276" s="1">
        <v>7</v>
      </c>
      <c r="E276" s="1">
        <v>35</v>
      </c>
      <c r="F276" s="1" t="s">
        <v>269</v>
      </c>
      <c r="G276" s="1" t="s">
        <v>103</v>
      </c>
      <c r="H276" s="1">
        <v>14.5</v>
      </c>
      <c r="I276" s="1">
        <f t="shared" si="29"/>
        <v>1.4979338842975207E-3</v>
      </c>
      <c r="J276" s="2">
        <v>894.9</v>
      </c>
      <c r="K276" s="3">
        <f t="shared" si="30"/>
        <v>1.9711453744493392</v>
      </c>
      <c r="L276" s="5">
        <f t="shared" si="31"/>
        <v>1315.9094637703174</v>
      </c>
      <c r="M276" s="5">
        <f t="shared" si="32"/>
        <v>21.931824396171958</v>
      </c>
      <c r="N276" t="s">
        <v>716</v>
      </c>
      <c r="O276">
        <f t="shared" si="33"/>
        <v>894.9</v>
      </c>
      <c r="P276">
        <f t="shared" si="34"/>
        <v>147.49371224669602</v>
      </c>
    </row>
    <row r="277" spans="1:16" ht="15.75" thickBot="1" x14ac:dyDescent="0.3">
      <c r="A277" t="str">
        <f t="shared" si="28"/>
        <v>GOOD</v>
      </c>
      <c r="B277" s="1">
        <v>1276</v>
      </c>
      <c r="C277" s="1">
        <v>1276736</v>
      </c>
      <c r="D277" s="1">
        <v>7</v>
      </c>
      <c r="E277" s="1">
        <v>36</v>
      </c>
      <c r="F277" s="1" t="s">
        <v>140</v>
      </c>
      <c r="G277" s="1" t="s">
        <v>112</v>
      </c>
      <c r="H277" s="1">
        <v>14.5</v>
      </c>
      <c r="I277" s="1">
        <f t="shared" si="29"/>
        <v>1.4979338842975207E-3</v>
      </c>
      <c r="J277" s="2">
        <v>1094.4000000000001</v>
      </c>
      <c r="K277" s="3">
        <f t="shared" si="30"/>
        <v>2.4105726872246698</v>
      </c>
      <c r="L277" s="5">
        <f t="shared" si="31"/>
        <v>1609.265076712745</v>
      </c>
      <c r="M277" s="5">
        <f t="shared" si="32"/>
        <v>26.821084611879083</v>
      </c>
      <c r="N277" t="s">
        <v>717</v>
      </c>
      <c r="O277">
        <f t="shared" si="33"/>
        <v>1094.4000000000001</v>
      </c>
      <c r="P277">
        <f t="shared" si="34"/>
        <v>180.37447612334802</v>
      </c>
    </row>
    <row r="278" spans="1:16" ht="15.75" thickBot="1" x14ac:dyDescent="0.3">
      <c r="A278" t="str">
        <f t="shared" si="28"/>
        <v>GOOD</v>
      </c>
      <c r="B278" s="1">
        <v>1277</v>
      </c>
      <c r="C278" s="1">
        <v>1277737</v>
      </c>
      <c r="D278" s="1">
        <v>7</v>
      </c>
      <c r="E278" s="1">
        <v>37</v>
      </c>
      <c r="F278" s="1" t="s">
        <v>360</v>
      </c>
      <c r="G278" s="1" t="s">
        <v>259</v>
      </c>
      <c r="H278" s="1">
        <v>14.5</v>
      </c>
      <c r="I278" s="1">
        <f t="shared" si="29"/>
        <v>1.4979338842975207E-3</v>
      </c>
      <c r="J278" s="2">
        <v>993.3</v>
      </c>
      <c r="K278" s="3">
        <f t="shared" si="30"/>
        <v>2.1878854625550659</v>
      </c>
      <c r="L278" s="5">
        <f t="shared" si="31"/>
        <v>1460.6021570712439</v>
      </c>
      <c r="M278" s="5">
        <f t="shared" si="32"/>
        <v>24.343369284520733</v>
      </c>
      <c r="N278" t="s">
        <v>718</v>
      </c>
      <c r="O278">
        <f t="shared" si="33"/>
        <v>993.3</v>
      </c>
      <c r="P278">
        <f t="shared" si="34"/>
        <v>163.71159277533039</v>
      </c>
    </row>
    <row r="279" spans="1:16" ht="15.75" thickBot="1" x14ac:dyDescent="0.3">
      <c r="A279" t="str">
        <f t="shared" si="28"/>
        <v>GOOD</v>
      </c>
      <c r="B279" s="1">
        <v>1278</v>
      </c>
      <c r="C279" s="1">
        <v>1278738</v>
      </c>
      <c r="D279" s="1">
        <v>7</v>
      </c>
      <c r="E279" s="1">
        <v>38</v>
      </c>
      <c r="F279" s="1" t="s">
        <v>361</v>
      </c>
      <c r="G279" s="1" t="s">
        <v>362</v>
      </c>
      <c r="H279" s="1">
        <v>14.5</v>
      </c>
      <c r="I279" s="1">
        <f t="shared" si="29"/>
        <v>1.4979338842975207E-3</v>
      </c>
      <c r="J279" s="2">
        <v>617</v>
      </c>
      <c r="K279" s="3">
        <f t="shared" si="30"/>
        <v>1.3590308370044053</v>
      </c>
      <c r="L279" s="5">
        <f t="shared" si="31"/>
        <v>907.2702415312167</v>
      </c>
      <c r="M279" s="5">
        <f t="shared" si="32"/>
        <v>15.121170692186945</v>
      </c>
      <c r="N279" t="s">
        <v>719</v>
      </c>
      <c r="O279">
        <f t="shared" si="33"/>
        <v>617</v>
      </c>
      <c r="P279">
        <f t="shared" si="34"/>
        <v>101.69138502202642</v>
      </c>
    </row>
    <row r="280" spans="1:16" ht="15.75" thickBot="1" x14ac:dyDescent="0.3">
      <c r="A280" t="str">
        <f t="shared" si="28"/>
        <v>GOOD</v>
      </c>
      <c r="B280" s="1">
        <v>1279</v>
      </c>
      <c r="C280" s="1">
        <v>1279739</v>
      </c>
      <c r="D280" s="1">
        <v>7</v>
      </c>
      <c r="E280" s="1">
        <v>39</v>
      </c>
      <c r="F280" s="1" t="s">
        <v>363</v>
      </c>
      <c r="G280" s="1" t="s">
        <v>204</v>
      </c>
      <c r="H280" s="1">
        <v>14.5</v>
      </c>
      <c r="I280" s="1">
        <f t="shared" si="29"/>
        <v>1.4979338842975207E-3</v>
      </c>
      <c r="J280" s="2">
        <v>668.7</v>
      </c>
      <c r="K280" s="3">
        <f t="shared" si="30"/>
        <v>1.4729074889867841</v>
      </c>
      <c r="L280" s="5">
        <f t="shared" si="31"/>
        <v>983.29272368221166</v>
      </c>
      <c r="M280" s="5">
        <f t="shared" si="32"/>
        <v>16.388212061370194</v>
      </c>
      <c r="N280" t="s">
        <v>720</v>
      </c>
      <c r="O280">
        <f t="shared" si="33"/>
        <v>668.7</v>
      </c>
      <c r="P280">
        <f t="shared" si="34"/>
        <v>110.2123649339207</v>
      </c>
    </row>
    <row r="281" spans="1:16" ht="15.75" thickBot="1" x14ac:dyDescent="0.3">
      <c r="A281" t="str">
        <f t="shared" si="28"/>
        <v>GOOD</v>
      </c>
      <c r="B281" s="1">
        <v>1280</v>
      </c>
      <c r="C281" s="1">
        <v>1280740</v>
      </c>
      <c r="D281" s="1">
        <v>7</v>
      </c>
      <c r="E281" s="1">
        <v>40</v>
      </c>
      <c r="F281" s="1" t="s">
        <v>125</v>
      </c>
      <c r="G281" s="1" t="s">
        <v>364</v>
      </c>
      <c r="H281" s="1">
        <v>14.5</v>
      </c>
      <c r="I281" s="1">
        <f t="shared" si="29"/>
        <v>1.4979338842975207E-3</v>
      </c>
      <c r="J281" s="2">
        <v>973.8</v>
      </c>
      <c r="K281" s="3">
        <f t="shared" si="30"/>
        <v>2.1449339207048457</v>
      </c>
      <c r="L281" s="5">
        <f t="shared" si="31"/>
        <v>1431.9283001670969</v>
      </c>
      <c r="M281" s="5">
        <f t="shared" si="32"/>
        <v>23.865471669451615</v>
      </c>
      <c r="N281" t="s">
        <v>721</v>
      </c>
      <c r="O281">
        <f t="shared" si="33"/>
        <v>973.8</v>
      </c>
      <c r="P281">
        <f t="shared" si="34"/>
        <v>160.49768352422907</v>
      </c>
    </row>
    <row r="282" spans="1:16" ht="15.75" thickBot="1" x14ac:dyDescent="0.3">
      <c r="A282" t="str">
        <f t="shared" si="28"/>
        <v>GOOD</v>
      </c>
      <c r="B282" s="1">
        <v>1281</v>
      </c>
      <c r="C282" s="1">
        <v>1281840</v>
      </c>
      <c r="D282" s="1">
        <v>8</v>
      </c>
      <c r="E282" s="1">
        <v>40</v>
      </c>
      <c r="F282" s="1" t="s">
        <v>365</v>
      </c>
      <c r="G282" s="1" t="s">
        <v>278</v>
      </c>
      <c r="H282" s="1">
        <v>15.5</v>
      </c>
      <c r="I282" s="1">
        <f t="shared" si="29"/>
        <v>1.6012396694214876E-3</v>
      </c>
      <c r="J282" s="2">
        <v>906.2</v>
      </c>
      <c r="K282" s="3">
        <f t="shared" si="30"/>
        <v>1.996035242290749</v>
      </c>
      <c r="L282" s="5">
        <f t="shared" si="31"/>
        <v>1246.556202927384</v>
      </c>
      <c r="M282" s="5">
        <f t="shared" si="32"/>
        <v>20.7759367154564</v>
      </c>
      <c r="N282" t="s">
        <v>722</v>
      </c>
      <c r="O282">
        <f t="shared" si="33"/>
        <v>906.2</v>
      </c>
      <c r="P282">
        <f t="shared" si="34"/>
        <v>139.72025200511584</v>
      </c>
    </row>
    <row r="283" spans="1:16" ht="15.75" thickBot="1" x14ac:dyDescent="0.3">
      <c r="A283" t="str">
        <f t="shared" si="28"/>
        <v>GOOD</v>
      </c>
      <c r="B283" s="1">
        <v>1282</v>
      </c>
      <c r="C283" s="1">
        <v>1282839</v>
      </c>
      <c r="D283" s="1">
        <v>8</v>
      </c>
      <c r="E283" s="1">
        <v>39</v>
      </c>
      <c r="F283" s="1" t="s">
        <v>134</v>
      </c>
      <c r="G283" s="1" t="s">
        <v>71</v>
      </c>
      <c r="H283" s="1">
        <v>15.5</v>
      </c>
      <c r="I283" s="1">
        <f t="shared" si="29"/>
        <v>1.6012396694214876E-3</v>
      </c>
      <c r="J283" s="2">
        <v>761.2</v>
      </c>
      <c r="K283" s="3">
        <f t="shared" si="30"/>
        <v>1.6766519823788548</v>
      </c>
      <c r="L283" s="5">
        <f t="shared" si="31"/>
        <v>1047.0962057695042</v>
      </c>
      <c r="M283" s="5">
        <f t="shared" si="32"/>
        <v>17.451603429491737</v>
      </c>
      <c r="N283" t="s">
        <v>723</v>
      </c>
      <c r="O283">
        <f t="shared" si="33"/>
        <v>761.2</v>
      </c>
      <c r="P283">
        <f t="shared" si="34"/>
        <v>117.36377822367488</v>
      </c>
    </row>
    <row r="284" spans="1:16" ht="15.75" thickBot="1" x14ac:dyDescent="0.3">
      <c r="A284" t="str">
        <f t="shared" si="28"/>
        <v>GOOD</v>
      </c>
      <c r="B284" s="1">
        <v>1283</v>
      </c>
      <c r="C284" s="1">
        <v>1283838</v>
      </c>
      <c r="D284" s="1">
        <v>8</v>
      </c>
      <c r="E284" s="1">
        <v>38</v>
      </c>
      <c r="F284" s="1" t="s">
        <v>264</v>
      </c>
      <c r="G284" s="1" t="s">
        <v>366</v>
      </c>
      <c r="H284" s="1">
        <v>15.5</v>
      </c>
      <c r="I284" s="1">
        <f t="shared" si="29"/>
        <v>1.6012396694214876E-3</v>
      </c>
      <c r="J284" s="2">
        <v>1017</v>
      </c>
      <c r="K284" s="3">
        <f t="shared" si="30"/>
        <v>2.2400881057268722</v>
      </c>
      <c r="L284" s="5">
        <f t="shared" si="31"/>
        <v>1398.9711524797499</v>
      </c>
      <c r="M284" s="5">
        <f t="shared" si="32"/>
        <v>23.316185874662498</v>
      </c>
      <c r="N284" t="s">
        <v>724</v>
      </c>
      <c r="O284">
        <f t="shared" si="33"/>
        <v>1017</v>
      </c>
      <c r="P284">
        <f t="shared" si="34"/>
        <v>156.80368162569278</v>
      </c>
    </row>
    <row r="285" spans="1:16" ht="15.75" thickBot="1" x14ac:dyDescent="0.3">
      <c r="A285" t="str">
        <f t="shared" si="28"/>
        <v>GOOD</v>
      </c>
      <c r="B285" s="1">
        <v>1284</v>
      </c>
      <c r="C285" s="1">
        <v>1284837</v>
      </c>
      <c r="D285" s="1">
        <v>8</v>
      </c>
      <c r="E285" s="1">
        <v>37</v>
      </c>
      <c r="F285" s="1" t="s">
        <v>215</v>
      </c>
      <c r="G285" s="1" t="s">
        <v>367</v>
      </c>
      <c r="H285" s="1">
        <v>15.5</v>
      </c>
      <c r="I285" s="1">
        <f t="shared" si="29"/>
        <v>1.6012396694214876E-3</v>
      </c>
      <c r="J285" s="2">
        <v>889</v>
      </c>
      <c r="K285" s="3">
        <f t="shared" si="30"/>
        <v>1.9581497797356828</v>
      </c>
      <c r="L285" s="5">
        <f t="shared" si="31"/>
        <v>1222.8961205058974</v>
      </c>
      <c r="M285" s="5">
        <f t="shared" si="32"/>
        <v>20.381602008431624</v>
      </c>
      <c r="N285" t="s">
        <v>725</v>
      </c>
      <c r="O285">
        <f t="shared" si="33"/>
        <v>889</v>
      </c>
      <c r="P285">
        <f t="shared" si="34"/>
        <v>137.06831166690353</v>
      </c>
    </row>
    <row r="286" spans="1:16" ht="15.75" thickBot="1" x14ac:dyDescent="0.3">
      <c r="A286" t="str">
        <f t="shared" si="28"/>
        <v>GOOD</v>
      </c>
      <c r="B286" s="1">
        <v>1285</v>
      </c>
      <c r="C286" s="1">
        <v>1285836</v>
      </c>
      <c r="D286" s="1">
        <v>8</v>
      </c>
      <c r="E286" s="1">
        <v>36</v>
      </c>
      <c r="F286" s="1" t="s">
        <v>166</v>
      </c>
      <c r="G286" s="1" t="s">
        <v>167</v>
      </c>
      <c r="H286" s="1">
        <v>15.5</v>
      </c>
      <c r="I286" s="1">
        <f t="shared" si="29"/>
        <v>1.6012396694214876E-3</v>
      </c>
      <c r="J286" s="2">
        <v>865.1</v>
      </c>
      <c r="K286" s="3">
        <f t="shared" si="30"/>
        <v>1.9055066079295155</v>
      </c>
      <c r="L286" s="5">
        <f t="shared" si="31"/>
        <v>1190.0196106295298</v>
      </c>
      <c r="M286" s="5">
        <f t="shared" si="32"/>
        <v>19.83366017715883</v>
      </c>
      <c r="N286" t="s">
        <v>726</v>
      </c>
      <c r="O286">
        <f t="shared" si="33"/>
        <v>865.1</v>
      </c>
      <c r="P286">
        <f t="shared" si="34"/>
        <v>133.38334805741084</v>
      </c>
    </row>
    <row r="287" spans="1:16" ht="15.75" thickBot="1" x14ac:dyDescent="0.3">
      <c r="A287" t="str">
        <f t="shared" si="28"/>
        <v>GOOD</v>
      </c>
      <c r="B287" s="1">
        <v>1286</v>
      </c>
      <c r="C287" s="1">
        <v>1286835</v>
      </c>
      <c r="D287" s="1">
        <v>8</v>
      </c>
      <c r="E287" s="1">
        <v>35</v>
      </c>
      <c r="F287" s="1" t="s">
        <v>100</v>
      </c>
      <c r="G287" s="1" t="s">
        <v>155</v>
      </c>
      <c r="H287" s="1">
        <v>15.5</v>
      </c>
      <c r="I287" s="1">
        <f t="shared" si="29"/>
        <v>1.6012396694214876E-3</v>
      </c>
      <c r="J287" s="2">
        <v>850.6</v>
      </c>
      <c r="K287" s="3">
        <f t="shared" si="30"/>
        <v>1.8735682819383261</v>
      </c>
      <c r="L287" s="5">
        <f t="shared" si="31"/>
        <v>1170.0736109137417</v>
      </c>
      <c r="M287" s="5">
        <f t="shared" si="32"/>
        <v>19.501226848562361</v>
      </c>
      <c r="N287" t="s">
        <v>727</v>
      </c>
      <c r="O287">
        <f t="shared" si="33"/>
        <v>850.6</v>
      </c>
      <c r="P287">
        <f t="shared" si="34"/>
        <v>131.14770067926673</v>
      </c>
    </row>
    <row r="288" spans="1:16" ht="15.75" thickBot="1" x14ac:dyDescent="0.3">
      <c r="A288" t="str">
        <f t="shared" si="28"/>
        <v>GOOD</v>
      </c>
      <c r="B288" s="1">
        <v>1287</v>
      </c>
      <c r="C288" s="1">
        <v>1287834</v>
      </c>
      <c r="D288" s="1">
        <v>8</v>
      </c>
      <c r="E288" s="1">
        <v>34</v>
      </c>
      <c r="F288" s="1" t="s">
        <v>49</v>
      </c>
      <c r="G288" s="1" t="s">
        <v>135</v>
      </c>
      <c r="H288" s="1">
        <v>15.5</v>
      </c>
      <c r="I288" s="1">
        <f t="shared" si="29"/>
        <v>1.6012396694214876E-3</v>
      </c>
      <c r="J288" s="2">
        <v>1020.6</v>
      </c>
      <c r="K288" s="3">
        <f t="shared" si="30"/>
        <v>2.2480176211453746</v>
      </c>
      <c r="L288" s="5">
        <f t="shared" si="31"/>
        <v>1403.9232627540146</v>
      </c>
      <c r="M288" s="5">
        <f t="shared" si="32"/>
        <v>23.398721045900242</v>
      </c>
      <c r="N288" t="s">
        <v>728</v>
      </c>
      <c r="O288">
        <f t="shared" si="33"/>
        <v>1020.6</v>
      </c>
      <c r="P288">
        <f t="shared" si="34"/>
        <v>157.35873890578372</v>
      </c>
    </row>
    <row r="289" spans="1:16" ht="15.75" thickBot="1" x14ac:dyDescent="0.3">
      <c r="A289" t="str">
        <f t="shared" si="28"/>
        <v>GOOD</v>
      </c>
      <c r="B289" s="1">
        <v>1288</v>
      </c>
      <c r="C289" s="1">
        <v>1288833</v>
      </c>
      <c r="D289" s="1">
        <v>8</v>
      </c>
      <c r="E289" s="1">
        <v>33</v>
      </c>
      <c r="F289" s="1" t="s">
        <v>314</v>
      </c>
      <c r="G289" s="1" t="s">
        <v>235</v>
      </c>
      <c r="H289" s="1">
        <v>15.5</v>
      </c>
      <c r="I289" s="1">
        <f t="shared" si="29"/>
        <v>1.6012396694214876E-3</v>
      </c>
      <c r="J289" s="2">
        <v>928.4</v>
      </c>
      <c r="K289" s="3">
        <f t="shared" si="30"/>
        <v>2.0449339207048456</v>
      </c>
      <c r="L289" s="5">
        <f t="shared" si="31"/>
        <v>1277.0942162853487</v>
      </c>
      <c r="M289" s="5">
        <f t="shared" si="32"/>
        <v>21.284903604755812</v>
      </c>
      <c r="N289" t="s">
        <v>729</v>
      </c>
      <c r="O289">
        <f t="shared" si="33"/>
        <v>928.4</v>
      </c>
      <c r="P289">
        <f t="shared" si="34"/>
        <v>143.14310523234332</v>
      </c>
    </row>
    <row r="290" spans="1:16" ht="15.75" thickBot="1" x14ac:dyDescent="0.3">
      <c r="A290" t="str">
        <f t="shared" si="28"/>
        <v>GOOD</v>
      </c>
      <c r="B290" s="1">
        <v>1289</v>
      </c>
      <c r="C290" s="1">
        <v>1289832</v>
      </c>
      <c r="D290" s="1">
        <v>8</v>
      </c>
      <c r="E290" s="1">
        <v>32</v>
      </c>
      <c r="F290" s="1" t="s">
        <v>294</v>
      </c>
      <c r="G290" s="1" t="s">
        <v>318</v>
      </c>
      <c r="H290" s="1">
        <v>15.5</v>
      </c>
      <c r="I290" s="1">
        <f t="shared" si="29"/>
        <v>1.6012396694214876E-3</v>
      </c>
      <c r="J290" s="2">
        <v>964</v>
      </c>
      <c r="K290" s="3">
        <f t="shared" si="30"/>
        <v>2.1233480176211454</v>
      </c>
      <c r="L290" s="5">
        <f t="shared" si="31"/>
        <v>1326.0650845530765</v>
      </c>
      <c r="M290" s="5">
        <f t="shared" si="32"/>
        <v>22.101084742551276</v>
      </c>
      <c r="N290" t="s">
        <v>730</v>
      </c>
      <c r="O290">
        <f t="shared" si="33"/>
        <v>964</v>
      </c>
      <c r="P290">
        <f t="shared" si="34"/>
        <v>148.63200500213159</v>
      </c>
    </row>
    <row r="291" spans="1:16" ht="15.75" thickBot="1" x14ac:dyDescent="0.3">
      <c r="A291" t="str">
        <f t="shared" si="28"/>
        <v>GOOD</v>
      </c>
      <c r="B291" s="1">
        <v>1290</v>
      </c>
      <c r="C291" s="1">
        <v>1290831</v>
      </c>
      <c r="D291" s="1">
        <v>8</v>
      </c>
      <c r="E291" s="1">
        <v>31</v>
      </c>
      <c r="F291" s="1" t="s">
        <v>343</v>
      </c>
      <c r="G291" s="1" t="s">
        <v>16</v>
      </c>
      <c r="H291" s="1">
        <v>15.5</v>
      </c>
      <c r="I291" s="1">
        <f t="shared" si="29"/>
        <v>1.6012396694214876E-3</v>
      </c>
      <c r="J291" s="2">
        <v>1029</v>
      </c>
      <c r="K291" s="3">
        <f t="shared" si="30"/>
        <v>2.2665198237885464</v>
      </c>
      <c r="L291" s="5">
        <f t="shared" si="31"/>
        <v>1415.4781867272986</v>
      </c>
      <c r="M291" s="5">
        <f t="shared" si="32"/>
        <v>23.591303112121643</v>
      </c>
      <c r="N291" t="s">
        <v>731</v>
      </c>
      <c r="O291">
        <f t="shared" si="33"/>
        <v>1029</v>
      </c>
      <c r="P291">
        <f t="shared" si="34"/>
        <v>158.65387255932927</v>
      </c>
    </row>
    <row r="292" spans="1:16" ht="15.75" thickBot="1" x14ac:dyDescent="0.3">
      <c r="A292" t="str">
        <f t="shared" si="28"/>
        <v>GOOD</v>
      </c>
      <c r="B292" s="1">
        <v>1291</v>
      </c>
      <c r="C292" s="1">
        <v>1291830</v>
      </c>
      <c r="D292" s="1">
        <v>8</v>
      </c>
      <c r="E292" s="1">
        <v>30</v>
      </c>
      <c r="F292" s="1" t="s">
        <v>147</v>
      </c>
      <c r="G292" s="1" t="s">
        <v>368</v>
      </c>
      <c r="H292" s="1">
        <v>15.5</v>
      </c>
      <c r="I292" s="1">
        <f t="shared" si="29"/>
        <v>1.6012396694214876E-3</v>
      </c>
      <c r="J292" s="2">
        <v>726.2</v>
      </c>
      <c r="K292" s="3">
        <f t="shared" si="30"/>
        <v>1.5995594713656389</v>
      </c>
      <c r="L292" s="5">
        <f t="shared" si="31"/>
        <v>998.95068921415384</v>
      </c>
      <c r="M292" s="5">
        <f t="shared" si="32"/>
        <v>16.649178153569231</v>
      </c>
      <c r="N292" t="s">
        <v>732</v>
      </c>
      <c r="O292">
        <f t="shared" si="33"/>
        <v>726.2</v>
      </c>
      <c r="P292">
        <f t="shared" si="34"/>
        <v>111.96738800056843</v>
      </c>
    </row>
    <row r="293" spans="1:16" ht="15.75" thickBot="1" x14ac:dyDescent="0.3">
      <c r="A293" t="str">
        <f t="shared" si="28"/>
        <v>GOOD</v>
      </c>
      <c r="B293" s="1">
        <v>1292</v>
      </c>
      <c r="C293" s="1">
        <v>1292829</v>
      </c>
      <c r="D293" s="1">
        <v>8</v>
      </c>
      <c r="E293" s="1">
        <v>29</v>
      </c>
      <c r="F293" s="1" t="s">
        <v>129</v>
      </c>
      <c r="G293" s="1" t="s">
        <v>369</v>
      </c>
      <c r="H293" s="1">
        <v>15.5</v>
      </c>
      <c r="I293" s="1">
        <f t="shared" si="29"/>
        <v>1.6012396694214876E-3</v>
      </c>
      <c r="J293" s="2">
        <v>906.5</v>
      </c>
      <c r="K293" s="3">
        <f t="shared" si="30"/>
        <v>1.9966960352422907</v>
      </c>
      <c r="L293" s="5">
        <f t="shared" si="31"/>
        <v>1246.9688787835726</v>
      </c>
      <c r="M293" s="5">
        <f t="shared" si="32"/>
        <v>20.782814646392875</v>
      </c>
      <c r="N293" t="s">
        <v>733</v>
      </c>
      <c r="O293">
        <f t="shared" si="33"/>
        <v>906.5</v>
      </c>
      <c r="P293">
        <f t="shared" si="34"/>
        <v>139.76650677845674</v>
      </c>
    </row>
    <row r="294" spans="1:16" ht="15.75" thickBot="1" x14ac:dyDescent="0.3">
      <c r="A294" t="str">
        <f t="shared" si="28"/>
        <v>GOOD</v>
      </c>
      <c r="B294" s="1">
        <v>1293</v>
      </c>
      <c r="C294" s="1">
        <v>1293828</v>
      </c>
      <c r="D294" s="1">
        <v>8</v>
      </c>
      <c r="E294" s="1">
        <v>28</v>
      </c>
      <c r="F294" s="1" t="s">
        <v>138</v>
      </c>
      <c r="G294" s="1" t="s">
        <v>87</v>
      </c>
      <c r="H294" s="1">
        <v>15.5</v>
      </c>
      <c r="I294" s="1">
        <f t="shared" si="29"/>
        <v>1.6012396694214876E-3</v>
      </c>
      <c r="J294" s="2">
        <v>790.8</v>
      </c>
      <c r="K294" s="3">
        <f t="shared" si="30"/>
        <v>1.7418502202643171</v>
      </c>
      <c r="L294" s="5">
        <f t="shared" si="31"/>
        <v>1087.8135569134574</v>
      </c>
      <c r="M294" s="5">
        <f t="shared" si="32"/>
        <v>18.130225948557623</v>
      </c>
      <c r="N294" t="s">
        <v>734</v>
      </c>
      <c r="O294">
        <f t="shared" si="33"/>
        <v>790.8</v>
      </c>
      <c r="P294">
        <f t="shared" si="34"/>
        <v>121.92758252664488</v>
      </c>
    </row>
    <row r="295" spans="1:16" ht="15.75" thickBot="1" x14ac:dyDescent="0.3">
      <c r="A295" t="str">
        <f t="shared" si="28"/>
        <v>GOOD</v>
      </c>
      <c r="B295" s="1">
        <v>1294</v>
      </c>
      <c r="C295" s="1">
        <v>1294827</v>
      </c>
      <c r="D295" s="1">
        <v>8</v>
      </c>
      <c r="E295" s="1">
        <v>27</v>
      </c>
      <c r="F295" s="1" t="s">
        <v>370</v>
      </c>
      <c r="G295" s="1" t="s">
        <v>249</v>
      </c>
      <c r="H295" s="1">
        <v>15.5</v>
      </c>
      <c r="I295" s="1">
        <f t="shared" si="29"/>
        <v>1.6012396694214876E-3</v>
      </c>
      <c r="J295" s="2">
        <v>1046.9000000000001</v>
      </c>
      <c r="K295" s="3">
        <f t="shared" si="30"/>
        <v>2.3059471365638768</v>
      </c>
      <c r="L295" s="5">
        <f t="shared" si="31"/>
        <v>1440.1011794798922</v>
      </c>
      <c r="M295" s="5">
        <f t="shared" si="32"/>
        <v>24.00168632466487</v>
      </c>
      <c r="N295" t="s">
        <v>735</v>
      </c>
      <c r="O295">
        <f t="shared" si="33"/>
        <v>1046.9000000000001</v>
      </c>
      <c r="P295">
        <f t="shared" si="34"/>
        <v>161.41374070200371</v>
      </c>
    </row>
    <row r="296" spans="1:16" ht="15.75" thickBot="1" x14ac:dyDescent="0.3">
      <c r="A296" t="str">
        <f t="shared" si="28"/>
        <v>GOOD</v>
      </c>
      <c r="B296" s="1">
        <v>1295</v>
      </c>
      <c r="C296" s="1">
        <v>1295826</v>
      </c>
      <c r="D296" s="1">
        <v>8</v>
      </c>
      <c r="E296" s="1">
        <v>26</v>
      </c>
      <c r="F296" s="1" t="s">
        <v>213</v>
      </c>
      <c r="G296" s="1" t="s">
        <v>133</v>
      </c>
      <c r="H296" s="1">
        <v>15.5</v>
      </c>
      <c r="I296" s="1">
        <f t="shared" si="29"/>
        <v>1.6012396694214876E-3</v>
      </c>
      <c r="J296" s="2">
        <v>872.5</v>
      </c>
      <c r="K296" s="3">
        <f t="shared" si="30"/>
        <v>1.9218061674008811</v>
      </c>
      <c r="L296" s="5">
        <f t="shared" si="31"/>
        <v>1200.1989484155181</v>
      </c>
      <c r="M296" s="5">
        <f t="shared" si="32"/>
        <v>20.003315806925301</v>
      </c>
      <c r="N296" t="s">
        <v>736</v>
      </c>
      <c r="O296">
        <f t="shared" si="33"/>
        <v>872.5</v>
      </c>
      <c r="P296">
        <f t="shared" si="34"/>
        <v>134.52429913315336</v>
      </c>
    </row>
    <row r="297" spans="1:16" ht="15.75" thickBot="1" x14ac:dyDescent="0.3">
      <c r="A297" t="str">
        <f t="shared" si="28"/>
        <v>GOOD</v>
      </c>
      <c r="B297" s="1">
        <v>1296</v>
      </c>
      <c r="C297" s="1">
        <v>1296825</v>
      </c>
      <c r="D297" s="1">
        <v>8</v>
      </c>
      <c r="E297" s="1">
        <v>25</v>
      </c>
      <c r="F297" s="1" t="s">
        <v>72</v>
      </c>
      <c r="G297" s="1" t="s">
        <v>298</v>
      </c>
      <c r="H297" s="1">
        <v>15.5</v>
      </c>
      <c r="I297" s="1">
        <f t="shared" si="29"/>
        <v>1.6012396694214876E-3</v>
      </c>
      <c r="J297" s="2">
        <v>717.7</v>
      </c>
      <c r="K297" s="3">
        <f t="shared" si="30"/>
        <v>1.5808370044052864</v>
      </c>
      <c r="L297" s="5">
        <f t="shared" si="31"/>
        <v>987.25820662214016</v>
      </c>
      <c r="M297" s="5">
        <f t="shared" si="32"/>
        <v>16.454303443702337</v>
      </c>
      <c r="N297" t="s">
        <v>737</v>
      </c>
      <c r="O297">
        <f t="shared" si="33"/>
        <v>717.7</v>
      </c>
      <c r="P297">
        <f t="shared" si="34"/>
        <v>110.65683608924259</v>
      </c>
    </row>
    <row r="298" spans="1:16" ht="15.75" thickBot="1" x14ac:dyDescent="0.3">
      <c r="A298" t="str">
        <f t="shared" si="28"/>
        <v>GOOD</v>
      </c>
      <c r="B298" s="1">
        <v>1297</v>
      </c>
      <c r="C298" s="1">
        <v>1297824</v>
      </c>
      <c r="D298" s="1">
        <v>8</v>
      </c>
      <c r="E298" s="1">
        <v>24</v>
      </c>
      <c r="F298" s="1" t="s">
        <v>371</v>
      </c>
      <c r="G298" s="1" t="s">
        <v>328</v>
      </c>
      <c r="H298" s="1">
        <v>15.5</v>
      </c>
      <c r="I298" s="1">
        <f t="shared" si="29"/>
        <v>1.6012396694214876E-3</v>
      </c>
      <c r="J298" s="2">
        <v>980.2</v>
      </c>
      <c r="K298" s="3">
        <f t="shared" si="30"/>
        <v>2.1590308370044053</v>
      </c>
      <c r="L298" s="5">
        <f t="shared" si="31"/>
        <v>1348.3495807872673</v>
      </c>
      <c r="M298" s="5">
        <f t="shared" si="32"/>
        <v>22.47249301312112</v>
      </c>
      <c r="N298" t="s">
        <v>738</v>
      </c>
      <c r="O298">
        <f t="shared" si="33"/>
        <v>980.2</v>
      </c>
      <c r="P298">
        <f t="shared" si="34"/>
        <v>151.12976276254085</v>
      </c>
    </row>
    <row r="299" spans="1:16" ht="15.75" thickBot="1" x14ac:dyDescent="0.3">
      <c r="A299" t="str">
        <f t="shared" si="28"/>
        <v>GOOD</v>
      </c>
      <c r="B299" s="1">
        <v>1298</v>
      </c>
      <c r="C299" s="1">
        <v>1298823</v>
      </c>
      <c r="D299" s="1">
        <v>8</v>
      </c>
      <c r="E299" s="1">
        <v>23</v>
      </c>
      <c r="F299" s="1" t="s">
        <v>372</v>
      </c>
      <c r="G299" s="1" t="s">
        <v>373</v>
      </c>
      <c r="H299" s="1">
        <v>15.5</v>
      </c>
      <c r="I299" s="1">
        <f t="shared" si="29"/>
        <v>1.6012396694214876E-3</v>
      </c>
      <c r="J299" s="2">
        <v>860.5</v>
      </c>
      <c r="K299" s="3">
        <f t="shared" si="30"/>
        <v>1.8953744493392071</v>
      </c>
      <c r="L299" s="5">
        <f t="shared" si="31"/>
        <v>1183.6919141679693</v>
      </c>
      <c r="M299" s="5">
        <f t="shared" si="32"/>
        <v>19.728198569466155</v>
      </c>
      <c r="N299" t="s">
        <v>739</v>
      </c>
      <c r="O299">
        <f t="shared" si="33"/>
        <v>860.5</v>
      </c>
      <c r="P299">
        <f t="shared" si="34"/>
        <v>132.67410819951684</v>
      </c>
    </row>
    <row r="300" spans="1:16" ht="15.75" thickBot="1" x14ac:dyDescent="0.3">
      <c r="A300" t="str">
        <f t="shared" si="28"/>
        <v>GOOD</v>
      </c>
      <c r="B300" s="1">
        <v>1299</v>
      </c>
      <c r="C300" s="1">
        <v>1299822</v>
      </c>
      <c r="D300" s="1">
        <v>8</v>
      </c>
      <c r="E300" s="1">
        <v>22</v>
      </c>
      <c r="F300" s="1" t="s">
        <v>207</v>
      </c>
      <c r="G300" s="1" t="s">
        <v>374</v>
      </c>
      <c r="H300" s="1">
        <v>15.5</v>
      </c>
      <c r="I300" s="1">
        <f t="shared" si="29"/>
        <v>1.6012396694214876E-3</v>
      </c>
      <c r="J300" s="2">
        <v>685.6</v>
      </c>
      <c r="K300" s="3">
        <f t="shared" si="30"/>
        <v>1.5101321585903085</v>
      </c>
      <c r="L300" s="5">
        <f t="shared" si="31"/>
        <v>943.10189000994751</v>
      </c>
      <c r="M300" s="5">
        <f t="shared" si="32"/>
        <v>15.718364833499125</v>
      </c>
      <c r="N300" t="s">
        <v>740</v>
      </c>
      <c r="O300">
        <f t="shared" si="33"/>
        <v>685.6</v>
      </c>
      <c r="P300">
        <f t="shared" si="34"/>
        <v>105.70757534176497</v>
      </c>
    </row>
    <row r="301" spans="1:16" ht="15.75" thickBot="1" x14ac:dyDescent="0.3">
      <c r="A301" t="str">
        <f t="shared" si="28"/>
        <v>GOOD</v>
      </c>
      <c r="B301" s="1">
        <v>1300</v>
      </c>
      <c r="C301" s="1">
        <v>1300821</v>
      </c>
      <c r="D301" s="1">
        <v>8</v>
      </c>
      <c r="E301" s="1">
        <v>21</v>
      </c>
      <c r="F301" s="1" t="s">
        <v>375</v>
      </c>
      <c r="G301" s="1" t="s">
        <v>376</v>
      </c>
      <c r="H301" s="1">
        <v>15.5</v>
      </c>
      <c r="I301" s="1">
        <f t="shared" si="29"/>
        <v>1.6012396694214876E-3</v>
      </c>
      <c r="J301" s="2">
        <v>1175.3</v>
      </c>
      <c r="K301" s="3">
        <f t="shared" si="30"/>
        <v>2.5887665198237886</v>
      </c>
      <c r="L301" s="5">
        <f t="shared" si="31"/>
        <v>1616.7264459286628</v>
      </c>
      <c r="M301" s="5">
        <f t="shared" si="32"/>
        <v>26.945440765477713</v>
      </c>
      <c r="N301" t="s">
        <v>741</v>
      </c>
      <c r="O301">
        <f t="shared" si="33"/>
        <v>1175.3</v>
      </c>
      <c r="P301">
        <f t="shared" si="34"/>
        <v>181.21078369191417</v>
      </c>
    </row>
    <row r="302" spans="1:16" ht="15.75" thickBot="1" x14ac:dyDescent="0.3">
      <c r="A302" t="str">
        <f t="shared" si="28"/>
        <v>GOOD</v>
      </c>
      <c r="B302" s="1">
        <v>1301</v>
      </c>
      <c r="C302" s="1">
        <v>1301820</v>
      </c>
      <c r="D302" s="1">
        <v>8</v>
      </c>
      <c r="E302" s="1">
        <v>20</v>
      </c>
      <c r="F302" s="1" t="s">
        <v>377</v>
      </c>
      <c r="G302" s="1" t="s">
        <v>378</v>
      </c>
      <c r="H302" s="1">
        <v>15.5</v>
      </c>
      <c r="I302" s="1">
        <f t="shared" si="29"/>
        <v>1.6012396694214876E-3</v>
      </c>
      <c r="J302" s="2">
        <v>965.8</v>
      </c>
      <c r="K302" s="3">
        <f t="shared" si="30"/>
        <v>2.1273127753303962</v>
      </c>
      <c r="L302" s="5">
        <f t="shared" si="31"/>
        <v>1328.5411396902086</v>
      </c>
      <c r="M302" s="5">
        <f t="shared" si="32"/>
        <v>22.142352328170144</v>
      </c>
      <c r="N302" t="s">
        <v>742</v>
      </c>
      <c r="O302">
        <f t="shared" si="33"/>
        <v>965.8</v>
      </c>
      <c r="P302">
        <f t="shared" si="34"/>
        <v>148.90953364217705</v>
      </c>
    </row>
    <row r="303" spans="1:16" ht="15.75" thickBot="1" x14ac:dyDescent="0.3">
      <c r="A303" t="str">
        <f t="shared" si="28"/>
        <v>GOOD</v>
      </c>
      <c r="B303" s="1">
        <v>1302</v>
      </c>
      <c r="C303" s="1">
        <v>1302819</v>
      </c>
      <c r="D303" s="1">
        <v>8</v>
      </c>
      <c r="E303" s="1">
        <v>19</v>
      </c>
      <c r="F303" s="1" t="s">
        <v>379</v>
      </c>
      <c r="G303" s="1" t="s">
        <v>16</v>
      </c>
      <c r="H303" s="1">
        <v>15.5</v>
      </c>
      <c r="I303" s="1">
        <f t="shared" si="29"/>
        <v>1.6012396694214876E-3</v>
      </c>
      <c r="J303" s="2">
        <v>1044.0999999999999</v>
      </c>
      <c r="K303" s="3">
        <f t="shared" si="30"/>
        <v>2.2997797356828191</v>
      </c>
      <c r="L303" s="5">
        <f t="shared" si="31"/>
        <v>1436.2495381554638</v>
      </c>
      <c r="M303" s="5">
        <f t="shared" si="32"/>
        <v>23.937492302591064</v>
      </c>
      <c r="N303" t="s">
        <v>743</v>
      </c>
      <c r="O303">
        <f t="shared" si="33"/>
        <v>1044.0999999999999</v>
      </c>
      <c r="P303">
        <f t="shared" si="34"/>
        <v>160.98202948415516</v>
      </c>
    </row>
    <row r="304" spans="1:16" ht="15.75" thickBot="1" x14ac:dyDescent="0.3">
      <c r="A304" t="str">
        <f t="shared" si="28"/>
        <v>GOOD</v>
      </c>
      <c r="B304" s="1">
        <v>1303</v>
      </c>
      <c r="C304" s="1">
        <v>1303818</v>
      </c>
      <c r="D304" s="1">
        <v>8</v>
      </c>
      <c r="E304" s="1">
        <v>18</v>
      </c>
      <c r="F304" s="1" t="s">
        <v>275</v>
      </c>
      <c r="G304" s="1" t="s">
        <v>380</v>
      </c>
      <c r="H304" s="1">
        <v>15.5</v>
      </c>
      <c r="I304" s="1">
        <f t="shared" si="29"/>
        <v>1.6012396694214876E-3</v>
      </c>
      <c r="J304" s="2">
        <v>833.3</v>
      </c>
      <c r="K304" s="3">
        <f t="shared" si="30"/>
        <v>1.8354625550660792</v>
      </c>
      <c r="L304" s="5">
        <f t="shared" si="31"/>
        <v>1146.2759698735256</v>
      </c>
      <c r="M304" s="5">
        <f t="shared" si="32"/>
        <v>19.104599497892092</v>
      </c>
      <c r="N304" t="s">
        <v>744</v>
      </c>
      <c r="O304">
        <f t="shared" si="33"/>
        <v>833.3</v>
      </c>
      <c r="P304">
        <f t="shared" si="34"/>
        <v>128.48034208327411</v>
      </c>
    </row>
    <row r="305" spans="1:16" ht="15.75" thickBot="1" x14ac:dyDescent="0.3">
      <c r="A305" t="str">
        <f t="shared" si="28"/>
        <v>GOOD</v>
      </c>
      <c r="B305" s="1">
        <v>1304</v>
      </c>
      <c r="C305" s="1">
        <v>1304817</v>
      </c>
      <c r="D305" s="1">
        <v>8</v>
      </c>
      <c r="E305" s="1">
        <v>17</v>
      </c>
      <c r="F305" s="1" t="s">
        <v>323</v>
      </c>
      <c r="G305" s="1" t="s">
        <v>93</v>
      </c>
      <c r="H305" s="1">
        <v>15.5</v>
      </c>
      <c r="I305" s="1">
        <f t="shared" si="29"/>
        <v>1.6012396694214876E-3</v>
      </c>
      <c r="J305" s="2">
        <v>918.4</v>
      </c>
      <c r="K305" s="3">
        <f t="shared" si="30"/>
        <v>2.022907488986784</v>
      </c>
      <c r="L305" s="5">
        <f t="shared" si="31"/>
        <v>1263.3383544123915</v>
      </c>
      <c r="M305" s="5">
        <f t="shared" si="32"/>
        <v>21.055639240206524</v>
      </c>
      <c r="N305" t="s">
        <v>745</v>
      </c>
      <c r="O305">
        <f t="shared" si="33"/>
        <v>918.4</v>
      </c>
      <c r="P305">
        <f t="shared" si="34"/>
        <v>141.6012794543129</v>
      </c>
    </row>
    <row r="306" spans="1:16" ht="15.75" thickBot="1" x14ac:dyDescent="0.3">
      <c r="A306" t="str">
        <f t="shared" si="28"/>
        <v>GOOD</v>
      </c>
      <c r="B306" s="1">
        <v>1305</v>
      </c>
      <c r="C306" s="1">
        <v>1305816</v>
      </c>
      <c r="D306" s="1">
        <v>8</v>
      </c>
      <c r="E306" s="1">
        <v>16</v>
      </c>
      <c r="F306" s="1" t="s">
        <v>381</v>
      </c>
      <c r="G306" s="1" t="s">
        <v>339</v>
      </c>
      <c r="H306" s="1">
        <v>15.5</v>
      </c>
      <c r="I306" s="1">
        <f t="shared" si="29"/>
        <v>1.6012396694214876E-3</v>
      </c>
      <c r="J306" s="2">
        <v>1059.9000000000001</v>
      </c>
      <c r="K306" s="3">
        <f t="shared" si="30"/>
        <v>2.3345814977973571</v>
      </c>
      <c r="L306" s="5">
        <f t="shared" si="31"/>
        <v>1457.9837999147367</v>
      </c>
      <c r="M306" s="5">
        <f t="shared" si="32"/>
        <v>24.299729998578943</v>
      </c>
      <c r="N306" t="s">
        <v>746</v>
      </c>
      <c r="O306">
        <f t="shared" si="33"/>
        <v>1059.9000000000001</v>
      </c>
      <c r="P306">
        <f t="shared" si="34"/>
        <v>163.41811421344326</v>
      </c>
    </row>
    <row r="307" spans="1:16" ht="15.75" thickBot="1" x14ac:dyDescent="0.3">
      <c r="A307" t="str">
        <f t="shared" si="28"/>
        <v>GOOD</v>
      </c>
      <c r="B307" s="1">
        <v>1306</v>
      </c>
      <c r="C307" s="1">
        <v>1306815</v>
      </c>
      <c r="D307" s="1">
        <v>8</v>
      </c>
      <c r="E307" s="1">
        <v>15</v>
      </c>
      <c r="F307" s="1" t="s">
        <v>283</v>
      </c>
      <c r="G307" s="1" t="s">
        <v>382</v>
      </c>
      <c r="H307" s="1">
        <v>15.5</v>
      </c>
      <c r="I307" s="1">
        <f t="shared" si="29"/>
        <v>1.6012396694214876E-3</v>
      </c>
      <c r="J307" s="2">
        <v>1484.2</v>
      </c>
      <c r="K307" s="3">
        <f t="shared" si="30"/>
        <v>3.2691629955947139</v>
      </c>
      <c r="L307" s="5">
        <f t="shared" si="31"/>
        <v>2041.6450191843116</v>
      </c>
      <c r="M307" s="5">
        <f t="shared" si="32"/>
        <v>34.027416986405193</v>
      </c>
      <c r="N307" t="s">
        <v>747</v>
      </c>
      <c r="O307">
        <f t="shared" si="33"/>
        <v>1484.2</v>
      </c>
      <c r="P307">
        <f t="shared" si="34"/>
        <v>228.83778197527357</v>
      </c>
    </row>
    <row r="308" spans="1:16" ht="15.75" thickBot="1" x14ac:dyDescent="0.3">
      <c r="A308" t="str">
        <f t="shared" si="28"/>
        <v>GOOD</v>
      </c>
      <c r="B308" s="1">
        <v>1307</v>
      </c>
      <c r="C308" s="1">
        <v>1307814</v>
      </c>
      <c r="D308" s="1">
        <v>8</v>
      </c>
      <c r="E308" s="1">
        <v>14</v>
      </c>
      <c r="F308" s="1" t="s">
        <v>247</v>
      </c>
      <c r="G308" s="1" t="s">
        <v>139</v>
      </c>
      <c r="H308" s="1">
        <v>15.5</v>
      </c>
      <c r="I308" s="1">
        <f t="shared" si="29"/>
        <v>1.6012396694214876E-3</v>
      </c>
      <c r="J308" s="2">
        <v>1325.8</v>
      </c>
      <c r="K308" s="3">
        <f t="shared" si="30"/>
        <v>2.9202643171806169</v>
      </c>
      <c r="L308" s="5">
        <f t="shared" si="31"/>
        <v>1823.7521671166692</v>
      </c>
      <c r="M308" s="5">
        <f t="shared" si="32"/>
        <v>30.395869451944485</v>
      </c>
      <c r="N308" t="s">
        <v>748</v>
      </c>
      <c r="O308">
        <f t="shared" si="33"/>
        <v>1325.8</v>
      </c>
      <c r="P308">
        <f t="shared" si="34"/>
        <v>204.41526165127186</v>
      </c>
    </row>
    <row r="309" spans="1:16" ht="15.75" thickBot="1" x14ac:dyDescent="0.3">
      <c r="A309" t="str">
        <f t="shared" si="28"/>
        <v>GOOD</v>
      </c>
      <c r="B309" s="1">
        <v>1308</v>
      </c>
      <c r="C309" s="1">
        <v>1308813</v>
      </c>
      <c r="D309" s="1">
        <v>8</v>
      </c>
      <c r="E309" s="1">
        <v>13</v>
      </c>
      <c r="F309" s="1" t="s">
        <v>138</v>
      </c>
      <c r="G309" s="1" t="s">
        <v>126</v>
      </c>
      <c r="H309" s="1">
        <v>15.5</v>
      </c>
      <c r="I309" s="1">
        <f t="shared" si="29"/>
        <v>1.6012396694214876E-3</v>
      </c>
      <c r="J309" s="2">
        <v>695.8</v>
      </c>
      <c r="K309" s="3">
        <f t="shared" si="30"/>
        <v>1.5325991189427313</v>
      </c>
      <c r="L309" s="5">
        <f t="shared" si="31"/>
        <v>957.13286912036381</v>
      </c>
      <c r="M309" s="5">
        <f t="shared" si="32"/>
        <v>15.952214485339397</v>
      </c>
      <c r="N309" t="s">
        <v>749</v>
      </c>
      <c r="O309">
        <f t="shared" si="33"/>
        <v>695.8</v>
      </c>
      <c r="P309">
        <f t="shared" si="34"/>
        <v>107.28023763535599</v>
      </c>
    </row>
    <row r="310" spans="1:16" ht="15.75" thickBot="1" x14ac:dyDescent="0.3">
      <c r="A310" t="str">
        <f t="shared" si="28"/>
        <v>GOOD</v>
      </c>
      <c r="B310" s="1">
        <v>1309</v>
      </c>
      <c r="C310" s="1">
        <v>1309812</v>
      </c>
      <c r="D310" s="1">
        <v>8</v>
      </c>
      <c r="E310" s="1">
        <v>12</v>
      </c>
      <c r="F310" s="1" t="s">
        <v>325</v>
      </c>
      <c r="G310" s="1" t="s">
        <v>383</v>
      </c>
      <c r="H310" s="1">
        <v>15.5</v>
      </c>
      <c r="I310" s="1">
        <f t="shared" si="29"/>
        <v>1.6012396694214876E-3</v>
      </c>
      <c r="J310" s="2">
        <v>810.6</v>
      </c>
      <c r="K310" s="3">
        <f t="shared" si="30"/>
        <v>1.7854625550660794</v>
      </c>
      <c r="L310" s="5">
        <f t="shared" si="31"/>
        <v>1115.0501634219129</v>
      </c>
      <c r="M310" s="5">
        <f t="shared" si="32"/>
        <v>18.584169390365215</v>
      </c>
      <c r="N310" t="s">
        <v>750</v>
      </c>
      <c r="O310">
        <f t="shared" si="33"/>
        <v>810.6</v>
      </c>
      <c r="P310">
        <f t="shared" si="34"/>
        <v>124.9803975671451</v>
      </c>
    </row>
    <row r="311" spans="1:16" ht="15.75" thickBot="1" x14ac:dyDescent="0.3">
      <c r="A311" t="str">
        <f t="shared" si="28"/>
        <v>GOOD</v>
      </c>
      <c r="B311" s="1">
        <v>1310</v>
      </c>
      <c r="C311" s="1">
        <v>1310811</v>
      </c>
      <c r="D311" s="1">
        <v>8</v>
      </c>
      <c r="E311" s="1">
        <v>11</v>
      </c>
      <c r="F311" s="1" t="s">
        <v>384</v>
      </c>
      <c r="G311" s="1" t="s">
        <v>87</v>
      </c>
      <c r="H311" s="1">
        <v>15.5</v>
      </c>
      <c r="I311" s="1">
        <f t="shared" si="29"/>
        <v>1.6012396694214876E-3</v>
      </c>
      <c r="J311" s="2">
        <v>1033.9000000000001</v>
      </c>
      <c r="K311" s="3">
        <f t="shared" si="30"/>
        <v>2.2773127753303966</v>
      </c>
      <c r="L311" s="5">
        <f t="shared" si="31"/>
        <v>1422.2185590450476</v>
      </c>
      <c r="M311" s="5">
        <f t="shared" si="32"/>
        <v>23.703642650750794</v>
      </c>
      <c r="N311" t="s">
        <v>751</v>
      </c>
      <c r="O311">
        <f t="shared" si="33"/>
        <v>1033.9000000000001</v>
      </c>
      <c r="P311">
        <f t="shared" si="34"/>
        <v>159.40936719056418</v>
      </c>
    </row>
    <row r="312" spans="1:16" ht="15.75" thickBot="1" x14ac:dyDescent="0.3">
      <c r="A312" t="str">
        <f t="shared" si="28"/>
        <v>GOOD</v>
      </c>
      <c r="B312" s="1">
        <v>1311</v>
      </c>
      <c r="C312" s="1">
        <v>1311810</v>
      </c>
      <c r="D312" s="1">
        <v>8</v>
      </c>
      <c r="E312" s="1">
        <v>10</v>
      </c>
      <c r="F312" s="1" t="s">
        <v>143</v>
      </c>
      <c r="G312" s="1" t="s">
        <v>46</v>
      </c>
      <c r="H312" s="1">
        <v>15.5</v>
      </c>
      <c r="I312" s="1">
        <f t="shared" si="29"/>
        <v>1.6012396694214876E-3</v>
      </c>
      <c r="J312" s="2">
        <v>886.1</v>
      </c>
      <c r="K312" s="3">
        <f t="shared" si="30"/>
        <v>1.9517621145374451</v>
      </c>
      <c r="L312" s="5">
        <f t="shared" si="31"/>
        <v>1218.90692056274</v>
      </c>
      <c r="M312" s="5">
        <f t="shared" si="32"/>
        <v>20.315115342712332</v>
      </c>
      <c r="N312" t="s">
        <v>752</v>
      </c>
      <c r="O312">
        <f t="shared" si="33"/>
        <v>886.1</v>
      </c>
      <c r="P312">
        <f t="shared" si="34"/>
        <v>136.62118219127473</v>
      </c>
    </row>
    <row r="313" spans="1:16" ht="15.75" thickBot="1" x14ac:dyDescent="0.3">
      <c r="A313" t="str">
        <f t="shared" si="28"/>
        <v>GOOD</v>
      </c>
      <c r="B313" s="1">
        <v>1312</v>
      </c>
      <c r="C313" s="1">
        <v>131289</v>
      </c>
      <c r="D313" s="1">
        <v>8</v>
      </c>
      <c r="E313" s="1">
        <v>9</v>
      </c>
      <c r="F313" s="1" t="s">
        <v>385</v>
      </c>
      <c r="G313" s="1" t="s">
        <v>386</v>
      </c>
      <c r="H313" s="1">
        <v>15.5</v>
      </c>
      <c r="I313" s="1">
        <f t="shared" si="29"/>
        <v>1.6012396694214876E-3</v>
      </c>
      <c r="J313" s="2">
        <v>1020.9</v>
      </c>
      <c r="K313" s="3">
        <f t="shared" si="30"/>
        <v>2.2486784140969163</v>
      </c>
      <c r="L313" s="5">
        <f t="shared" si="31"/>
        <v>1404.3359386102031</v>
      </c>
      <c r="M313" s="5">
        <f t="shared" si="32"/>
        <v>23.405598976836718</v>
      </c>
      <c r="N313" t="s">
        <v>753</v>
      </c>
      <c r="O313">
        <f t="shared" si="33"/>
        <v>1020.9</v>
      </c>
      <c r="P313">
        <f t="shared" si="34"/>
        <v>157.40499367912463</v>
      </c>
    </row>
    <row r="314" spans="1:16" ht="15.75" thickBot="1" x14ac:dyDescent="0.3">
      <c r="A314" t="str">
        <f t="shared" si="28"/>
        <v>GOOD</v>
      </c>
      <c r="B314" s="1">
        <v>1313</v>
      </c>
      <c r="C314" s="1">
        <v>131388</v>
      </c>
      <c r="D314" s="1">
        <v>8</v>
      </c>
      <c r="E314" s="1">
        <v>8</v>
      </c>
      <c r="F314" s="1" t="s">
        <v>387</v>
      </c>
      <c r="G314" s="1" t="s">
        <v>388</v>
      </c>
      <c r="H314" s="1">
        <v>15.5</v>
      </c>
      <c r="I314" s="1">
        <f t="shared" si="29"/>
        <v>1.6012396694214876E-3</v>
      </c>
      <c r="J314" s="2">
        <v>829.1</v>
      </c>
      <c r="K314" s="3">
        <f t="shared" si="30"/>
        <v>1.8262114537444933</v>
      </c>
      <c r="L314" s="5">
        <f t="shared" si="31"/>
        <v>1140.4985078868835</v>
      </c>
      <c r="M314" s="5">
        <f t="shared" si="32"/>
        <v>19.008308464781393</v>
      </c>
      <c r="N314" t="s">
        <v>754</v>
      </c>
      <c r="O314">
        <f t="shared" si="33"/>
        <v>829.1</v>
      </c>
      <c r="P314">
        <f t="shared" si="34"/>
        <v>127.83277525650135</v>
      </c>
    </row>
    <row r="315" spans="1:16" ht="15.75" thickBot="1" x14ac:dyDescent="0.3">
      <c r="A315" t="str">
        <f t="shared" si="28"/>
        <v>GOOD</v>
      </c>
      <c r="B315" s="1">
        <v>1314</v>
      </c>
      <c r="C315" s="1">
        <v>131487</v>
      </c>
      <c r="D315" s="1">
        <v>8</v>
      </c>
      <c r="E315" s="1">
        <v>7</v>
      </c>
      <c r="F315" s="1" t="s">
        <v>283</v>
      </c>
      <c r="G315" s="1" t="s">
        <v>389</v>
      </c>
      <c r="H315" s="1">
        <v>15.5</v>
      </c>
      <c r="I315" s="1">
        <f t="shared" si="29"/>
        <v>1.6012396694214876E-3</v>
      </c>
      <c r="J315" s="2">
        <v>1502</v>
      </c>
      <c r="K315" s="3">
        <f t="shared" si="30"/>
        <v>3.3083700440528636</v>
      </c>
      <c r="L315" s="5">
        <f t="shared" si="31"/>
        <v>2066.1304533181756</v>
      </c>
      <c r="M315" s="5">
        <f t="shared" si="32"/>
        <v>34.435507555302927</v>
      </c>
      <c r="N315" t="s">
        <v>755</v>
      </c>
      <c r="O315">
        <f t="shared" si="33"/>
        <v>1502</v>
      </c>
      <c r="P315">
        <f t="shared" si="34"/>
        <v>231.58223186016772</v>
      </c>
    </row>
    <row r="316" spans="1:16" ht="15.75" thickBot="1" x14ac:dyDescent="0.3">
      <c r="A316" t="str">
        <f t="shared" si="28"/>
        <v>GOOD</v>
      </c>
      <c r="B316" s="1">
        <v>1315</v>
      </c>
      <c r="C316" s="1">
        <v>131586</v>
      </c>
      <c r="D316" s="1">
        <v>8</v>
      </c>
      <c r="E316" s="1">
        <v>6</v>
      </c>
      <c r="F316" s="1" t="s">
        <v>189</v>
      </c>
      <c r="G316" s="1" t="s">
        <v>41</v>
      </c>
      <c r="H316" s="1">
        <v>15.5</v>
      </c>
      <c r="I316" s="1">
        <f t="shared" si="29"/>
        <v>1.6012396694214876E-3</v>
      </c>
      <c r="J316" s="2">
        <v>818.7</v>
      </c>
      <c r="K316" s="3">
        <f t="shared" si="30"/>
        <v>1.8033039647577094</v>
      </c>
      <c r="L316" s="5">
        <f t="shared" si="31"/>
        <v>1126.1924115390082</v>
      </c>
      <c r="M316" s="5">
        <f t="shared" si="32"/>
        <v>18.769873525650137</v>
      </c>
      <c r="N316" t="s">
        <v>756</v>
      </c>
      <c r="O316">
        <f t="shared" si="33"/>
        <v>818.7</v>
      </c>
      <c r="P316">
        <f t="shared" si="34"/>
        <v>126.22927644734973</v>
      </c>
    </row>
    <row r="317" spans="1:16" ht="15.75" thickBot="1" x14ac:dyDescent="0.3">
      <c r="A317" t="str">
        <f t="shared" si="28"/>
        <v>GOOD</v>
      </c>
      <c r="B317" s="1">
        <v>1316</v>
      </c>
      <c r="C317" s="1">
        <v>131685</v>
      </c>
      <c r="D317" s="1">
        <v>8</v>
      </c>
      <c r="E317" s="1">
        <v>5</v>
      </c>
      <c r="F317" s="1" t="s">
        <v>113</v>
      </c>
      <c r="G317" s="1" t="s">
        <v>304</v>
      </c>
      <c r="H317" s="1">
        <v>15.5</v>
      </c>
      <c r="I317" s="1">
        <f t="shared" si="29"/>
        <v>1.6012396694214876E-3</v>
      </c>
      <c r="J317" s="2">
        <v>1173.8</v>
      </c>
      <c r="K317" s="3">
        <f t="shared" si="30"/>
        <v>2.585462555066079</v>
      </c>
      <c r="L317" s="5">
        <f t="shared" si="31"/>
        <v>1614.663066647719</v>
      </c>
      <c r="M317" s="5">
        <f t="shared" si="32"/>
        <v>26.911051110795317</v>
      </c>
      <c r="N317" t="s">
        <v>757</v>
      </c>
      <c r="O317">
        <f t="shared" si="33"/>
        <v>1173.8</v>
      </c>
      <c r="P317">
        <f t="shared" si="34"/>
        <v>180.97950982520959</v>
      </c>
    </row>
    <row r="318" spans="1:16" ht="15.75" thickBot="1" x14ac:dyDescent="0.3">
      <c r="A318" t="str">
        <f t="shared" si="28"/>
        <v>GOOD</v>
      </c>
      <c r="B318" s="1">
        <v>1317</v>
      </c>
      <c r="C318" s="1">
        <v>131784</v>
      </c>
      <c r="D318" s="1">
        <v>8</v>
      </c>
      <c r="E318" s="1">
        <v>4</v>
      </c>
      <c r="F318" s="1" t="s">
        <v>390</v>
      </c>
      <c r="G318" s="1" t="s">
        <v>391</v>
      </c>
      <c r="H318" s="1">
        <v>15.5</v>
      </c>
      <c r="I318" s="1">
        <f t="shared" si="29"/>
        <v>1.6012396694214876E-3</v>
      </c>
      <c r="J318" s="2">
        <v>1275.8</v>
      </c>
      <c r="K318" s="3">
        <f t="shared" si="30"/>
        <v>2.8101321585903083</v>
      </c>
      <c r="L318" s="5">
        <f t="shared" si="31"/>
        <v>1754.9728577518829</v>
      </c>
      <c r="M318" s="5">
        <f t="shared" si="32"/>
        <v>29.249547629198048</v>
      </c>
      <c r="N318" t="s">
        <v>758</v>
      </c>
      <c r="O318">
        <f t="shared" si="33"/>
        <v>1275.8</v>
      </c>
      <c r="P318">
        <f t="shared" si="34"/>
        <v>196.70613276111979</v>
      </c>
    </row>
    <row r="319" spans="1:16" ht="15.75" thickBot="1" x14ac:dyDescent="0.3">
      <c r="A319" t="str">
        <f t="shared" si="28"/>
        <v>GOOD</v>
      </c>
      <c r="B319" s="1">
        <v>1318</v>
      </c>
      <c r="C319" s="1">
        <v>131883</v>
      </c>
      <c r="D319" s="1">
        <v>8</v>
      </c>
      <c r="E319" s="1">
        <v>3</v>
      </c>
      <c r="F319" s="1" t="s">
        <v>172</v>
      </c>
      <c r="G319" s="1" t="s">
        <v>144</v>
      </c>
      <c r="H319" s="1">
        <v>15.5</v>
      </c>
      <c r="I319" s="1">
        <f t="shared" si="29"/>
        <v>1.6012396694214876E-3</v>
      </c>
      <c r="J319" s="2">
        <v>1042</v>
      </c>
      <c r="K319" s="3">
        <f t="shared" si="30"/>
        <v>2.2951541850220263</v>
      </c>
      <c r="L319" s="5">
        <f t="shared" si="31"/>
        <v>1433.3608071621429</v>
      </c>
      <c r="M319" s="5">
        <f t="shared" si="32"/>
        <v>23.889346786035716</v>
      </c>
      <c r="N319" t="s">
        <v>759</v>
      </c>
      <c r="O319">
        <f t="shared" si="33"/>
        <v>1042</v>
      </c>
      <c r="P319">
        <f t="shared" si="34"/>
        <v>160.6582460707688</v>
      </c>
    </row>
    <row r="320" spans="1:16" ht="15.75" thickBot="1" x14ac:dyDescent="0.3">
      <c r="A320" t="str">
        <f t="shared" si="28"/>
        <v>GOOD</v>
      </c>
      <c r="B320" s="1">
        <v>1319</v>
      </c>
      <c r="C320" s="1">
        <v>131982</v>
      </c>
      <c r="D320" s="1">
        <v>8</v>
      </c>
      <c r="E320" s="1">
        <v>2</v>
      </c>
      <c r="F320" s="1" t="s">
        <v>338</v>
      </c>
      <c r="G320" s="1" t="s">
        <v>392</v>
      </c>
      <c r="H320" s="1">
        <v>15.5</v>
      </c>
      <c r="I320" s="1">
        <f t="shared" si="29"/>
        <v>1.6012396694214876E-3</v>
      </c>
      <c r="J320" s="2">
        <v>766.1</v>
      </c>
      <c r="K320" s="3">
        <f t="shared" si="30"/>
        <v>1.6874449339207049</v>
      </c>
      <c r="L320" s="5">
        <f t="shared" si="31"/>
        <v>1053.8365780872532</v>
      </c>
      <c r="M320" s="5">
        <f t="shared" si="32"/>
        <v>17.563942968120887</v>
      </c>
      <c r="N320" t="s">
        <v>760</v>
      </c>
      <c r="O320">
        <f t="shared" si="33"/>
        <v>766.1</v>
      </c>
      <c r="P320">
        <f t="shared" si="34"/>
        <v>118.11927285490978</v>
      </c>
    </row>
    <row r="321" spans="1:16" ht="15.75" thickBot="1" x14ac:dyDescent="0.3">
      <c r="A321" t="str">
        <f t="shared" si="28"/>
        <v>GOOD</v>
      </c>
      <c r="B321" s="1">
        <v>1320</v>
      </c>
      <c r="C321" s="1">
        <v>132081</v>
      </c>
      <c r="D321" s="1">
        <v>8</v>
      </c>
      <c r="E321" s="1">
        <v>1</v>
      </c>
      <c r="F321" s="1" t="s">
        <v>61</v>
      </c>
      <c r="G321" s="1" t="s">
        <v>334</v>
      </c>
      <c r="H321" s="1">
        <v>15.5</v>
      </c>
      <c r="I321" s="1">
        <f t="shared" si="29"/>
        <v>1.6012396694214876E-3</v>
      </c>
      <c r="J321" s="2">
        <v>777.2</v>
      </c>
      <c r="K321" s="3">
        <f t="shared" si="30"/>
        <v>1.7118942731277533</v>
      </c>
      <c r="L321" s="5">
        <f t="shared" si="31"/>
        <v>1069.1055847662356</v>
      </c>
      <c r="M321" s="5">
        <f t="shared" si="32"/>
        <v>17.818426412770592</v>
      </c>
      <c r="N321" t="s">
        <v>761</v>
      </c>
      <c r="O321">
        <f t="shared" si="33"/>
        <v>777.2</v>
      </c>
      <c r="P321">
        <f t="shared" si="34"/>
        <v>119.83069946852352</v>
      </c>
    </row>
    <row r="322" spans="1:16" ht="15.75" thickBot="1" x14ac:dyDescent="0.3">
      <c r="A322" t="str">
        <f t="shared" si="28"/>
        <v>GOOD</v>
      </c>
      <c r="B322" s="1">
        <v>1321</v>
      </c>
      <c r="C322" s="1">
        <v>132191</v>
      </c>
      <c r="D322" s="1">
        <v>9</v>
      </c>
      <c r="E322" s="1">
        <v>1</v>
      </c>
      <c r="F322" s="1" t="s">
        <v>393</v>
      </c>
      <c r="G322" s="1" t="s">
        <v>116</v>
      </c>
      <c r="H322" s="1">
        <v>14.5</v>
      </c>
      <c r="I322" s="1">
        <f t="shared" si="29"/>
        <v>1.4979338842975207E-3</v>
      </c>
      <c r="J322" s="2">
        <v>727.8</v>
      </c>
      <c r="K322" s="3">
        <f t="shared" si="30"/>
        <v>1.6030837004405285</v>
      </c>
      <c r="L322" s="5">
        <f t="shared" si="31"/>
        <v>1070.1965669147803</v>
      </c>
      <c r="M322" s="5">
        <f t="shared" si="32"/>
        <v>17.836609448579672</v>
      </c>
      <c r="N322" t="s">
        <v>762</v>
      </c>
      <c r="O322">
        <f t="shared" si="33"/>
        <v>727.8</v>
      </c>
      <c r="P322">
        <f t="shared" si="34"/>
        <v>119.95298220264316</v>
      </c>
    </row>
    <row r="323" spans="1:16" ht="15.75" thickBot="1" x14ac:dyDescent="0.3">
      <c r="A323" t="str">
        <f t="shared" ref="A323:A386" si="35">IF((B323+3000)=VALUE(RIGHT(N323,4)),"GOOD","ERROR")</f>
        <v>GOOD</v>
      </c>
      <c r="B323" s="1">
        <v>1322</v>
      </c>
      <c r="C323" s="1">
        <v>132292</v>
      </c>
      <c r="D323" s="1">
        <v>9</v>
      </c>
      <c r="E323" s="1">
        <v>2</v>
      </c>
      <c r="F323" s="1" t="s">
        <v>299</v>
      </c>
      <c r="G323" s="1" t="s">
        <v>364</v>
      </c>
      <c r="H323" s="1">
        <v>14.5</v>
      </c>
      <c r="I323" s="1">
        <f t="shared" ref="I323:I386" si="36">H323*4.5/43560</f>
        <v>1.4979338842975207E-3</v>
      </c>
      <c r="J323" s="2">
        <v>758.2</v>
      </c>
      <c r="K323" s="3">
        <f t="shared" ref="K323:K386" si="37">J323/454</f>
        <v>1.6700440528634362</v>
      </c>
      <c r="L323" s="5">
        <f t="shared" ref="L323:L386" si="38">K323/I323</f>
        <v>1114.8983746012457</v>
      </c>
      <c r="M323" s="5">
        <f t="shared" ref="M323:M386" si="39">L323/60</f>
        <v>18.581639576687429</v>
      </c>
      <c r="N323" t="s">
        <v>763</v>
      </c>
      <c r="O323">
        <f t="shared" ref="O323:O386" si="40">J323</f>
        <v>758.2</v>
      </c>
      <c r="P323">
        <f t="shared" ref="P323:P386" si="41">L323*0.112085</f>
        <v>124.96338431718063</v>
      </c>
    </row>
    <row r="324" spans="1:16" ht="15.75" thickBot="1" x14ac:dyDescent="0.3">
      <c r="A324" t="str">
        <f t="shared" si="35"/>
        <v>GOOD</v>
      </c>
      <c r="B324" s="1">
        <v>1323</v>
      </c>
      <c r="C324" s="1">
        <v>132393</v>
      </c>
      <c r="D324" s="1">
        <v>9</v>
      </c>
      <c r="E324" s="1">
        <v>3</v>
      </c>
      <c r="F324" s="1" t="s">
        <v>271</v>
      </c>
      <c r="G324" s="1" t="s">
        <v>288</v>
      </c>
      <c r="H324" s="1">
        <v>14.5</v>
      </c>
      <c r="I324" s="1">
        <f t="shared" si="36"/>
        <v>1.4979338842975207E-3</v>
      </c>
      <c r="J324" s="2">
        <v>917.2</v>
      </c>
      <c r="K324" s="3">
        <f t="shared" si="37"/>
        <v>2.0202643171806169</v>
      </c>
      <c r="L324" s="5">
        <f t="shared" si="38"/>
        <v>1348.7005924350601</v>
      </c>
      <c r="M324" s="5">
        <f t="shared" si="39"/>
        <v>22.478343207251001</v>
      </c>
      <c r="N324" t="s">
        <v>764</v>
      </c>
      <c r="O324">
        <f t="shared" si="40"/>
        <v>917.2</v>
      </c>
      <c r="P324">
        <f t="shared" si="41"/>
        <v>151.16910590308373</v>
      </c>
    </row>
    <row r="325" spans="1:16" ht="15.75" thickBot="1" x14ac:dyDescent="0.3">
      <c r="A325" t="str">
        <f t="shared" si="35"/>
        <v>GOOD</v>
      </c>
      <c r="B325" s="1">
        <v>1324</v>
      </c>
      <c r="C325" s="1">
        <v>132494</v>
      </c>
      <c r="D325" s="1">
        <v>9</v>
      </c>
      <c r="E325" s="1">
        <v>4</v>
      </c>
      <c r="F325" s="1" t="s">
        <v>25</v>
      </c>
      <c r="G325" s="1" t="s">
        <v>394</v>
      </c>
      <c r="H325" s="1">
        <v>14.5</v>
      </c>
      <c r="I325" s="1">
        <f t="shared" si="36"/>
        <v>1.4979338842975207E-3</v>
      </c>
      <c r="J325" s="2">
        <v>1322.6</v>
      </c>
      <c r="K325" s="3">
        <f t="shared" si="37"/>
        <v>2.9132158590308368</v>
      </c>
      <c r="L325" s="5">
        <f t="shared" si="38"/>
        <v>1944.8227252012757</v>
      </c>
      <c r="M325" s="5">
        <f t="shared" si="39"/>
        <v>32.41371208668793</v>
      </c>
      <c r="N325" t="s">
        <v>765</v>
      </c>
      <c r="O325">
        <f t="shared" si="40"/>
        <v>1322.6</v>
      </c>
      <c r="P325">
        <f t="shared" si="41"/>
        <v>217.98545515418499</v>
      </c>
    </row>
    <row r="326" spans="1:16" ht="15.75" thickBot="1" x14ac:dyDescent="0.3">
      <c r="A326" t="str">
        <f t="shared" si="35"/>
        <v>GOOD</v>
      </c>
      <c r="B326" s="1">
        <v>1325</v>
      </c>
      <c r="C326" s="1">
        <v>132595</v>
      </c>
      <c r="D326" s="1">
        <v>9</v>
      </c>
      <c r="E326" s="1">
        <v>5</v>
      </c>
      <c r="F326" s="1" t="s">
        <v>106</v>
      </c>
      <c r="G326" s="1" t="s">
        <v>395</v>
      </c>
      <c r="H326" s="1">
        <v>14.5</v>
      </c>
      <c r="I326" s="1">
        <f t="shared" si="36"/>
        <v>1.4979338842975207E-3</v>
      </c>
      <c r="J326" s="2">
        <v>1206.5999999999999</v>
      </c>
      <c r="K326" s="3">
        <f t="shared" si="37"/>
        <v>2.6577092511013212</v>
      </c>
      <c r="L326" s="5">
        <f t="shared" si="38"/>
        <v>1774.2500379766061</v>
      </c>
      <c r="M326" s="5">
        <f t="shared" si="39"/>
        <v>29.570833966276769</v>
      </c>
      <c r="N326" t="s">
        <v>766</v>
      </c>
      <c r="O326">
        <f t="shared" si="40"/>
        <v>1206.5999999999999</v>
      </c>
      <c r="P326">
        <f t="shared" si="41"/>
        <v>198.86681550660791</v>
      </c>
    </row>
    <row r="327" spans="1:16" ht="15.75" thickBot="1" x14ac:dyDescent="0.3">
      <c r="A327" t="str">
        <f t="shared" si="35"/>
        <v>GOOD</v>
      </c>
      <c r="B327" s="1">
        <v>1326</v>
      </c>
      <c r="C327" s="1">
        <v>132696</v>
      </c>
      <c r="D327" s="1">
        <v>9</v>
      </c>
      <c r="E327" s="1">
        <v>6</v>
      </c>
      <c r="F327" s="1" t="s">
        <v>132</v>
      </c>
      <c r="G327" s="1" t="s">
        <v>131</v>
      </c>
      <c r="H327" s="1">
        <v>14.5</v>
      </c>
      <c r="I327" s="1">
        <f t="shared" si="36"/>
        <v>1.4979338842975207E-3</v>
      </c>
      <c r="J327" s="2">
        <v>877.2</v>
      </c>
      <c r="K327" s="3">
        <f t="shared" si="37"/>
        <v>1.9321585903083702</v>
      </c>
      <c r="L327" s="5">
        <f t="shared" si="38"/>
        <v>1289.8824244265534</v>
      </c>
      <c r="M327" s="5">
        <f t="shared" si="39"/>
        <v>21.498040407109222</v>
      </c>
      <c r="N327" t="s">
        <v>767</v>
      </c>
      <c r="O327">
        <f t="shared" si="40"/>
        <v>877.2</v>
      </c>
      <c r="P327">
        <f t="shared" si="41"/>
        <v>144.57647154185025</v>
      </c>
    </row>
    <row r="328" spans="1:16" ht="15.75" thickBot="1" x14ac:dyDescent="0.3">
      <c r="A328" t="str">
        <f t="shared" si="35"/>
        <v>GOOD</v>
      </c>
      <c r="B328" s="1">
        <v>1327</v>
      </c>
      <c r="C328" s="1">
        <v>132797</v>
      </c>
      <c r="D328" s="1">
        <v>9</v>
      </c>
      <c r="E328" s="1">
        <v>7</v>
      </c>
      <c r="F328" s="1" t="s">
        <v>291</v>
      </c>
      <c r="G328" s="1" t="s">
        <v>164</v>
      </c>
      <c r="H328" s="1">
        <v>14.5</v>
      </c>
      <c r="I328" s="1">
        <f t="shared" si="36"/>
        <v>1.4979338842975207E-3</v>
      </c>
      <c r="J328" s="2">
        <v>950.1</v>
      </c>
      <c r="K328" s="3">
        <f t="shared" si="37"/>
        <v>2.0927312775330398</v>
      </c>
      <c r="L328" s="5">
        <f t="shared" si="38"/>
        <v>1397.0785356220567</v>
      </c>
      <c r="M328" s="5">
        <f t="shared" si="39"/>
        <v>23.284642260367612</v>
      </c>
      <c r="N328" t="s">
        <v>768</v>
      </c>
      <c r="O328">
        <f t="shared" si="40"/>
        <v>950.1</v>
      </c>
      <c r="P328">
        <f t="shared" si="41"/>
        <v>156.59154766519825</v>
      </c>
    </row>
    <row r="329" spans="1:16" ht="15.75" thickBot="1" x14ac:dyDescent="0.3">
      <c r="A329" t="str">
        <f t="shared" si="35"/>
        <v>GOOD</v>
      </c>
      <c r="B329" s="1">
        <v>1328</v>
      </c>
      <c r="C329" s="1">
        <v>132898</v>
      </c>
      <c r="D329" s="1">
        <v>9</v>
      </c>
      <c r="E329" s="1">
        <v>8</v>
      </c>
      <c r="F329" s="1" t="s">
        <v>149</v>
      </c>
      <c r="G329" s="1" t="s">
        <v>58</v>
      </c>
      <c r="H329" s="1">
        <v>14.5</v>
      </c>
      <c r="I329" s="1">
        <f t="shared" si="36"/>
        <v>1.4979338842975207E-3</v>
      </c>
      <c r="J329" s="2">
        <v>1444.4</v>
      </c>
      <c r="K329" s="3">
        <f t="shared" si="37"/>
        <v>3.1814977973568284</v>
      </c>
      <c r="L329" s="5">
        <f t="shared" si="38"/>
        <v>2123.9240467871791</v>
      </c>
      <c r="M329" s="5">
        <f t="shared" si="39"/>
        <v>35.398734113119652</v>
      </c>
      <c r="N329" t="s">
        <v>769</v>
      </c>
      <c r="O329">
        <f t="shared" si="40"/>
        <v>1444.4</v>
      </c>
      <c r="P329">
        <f t="shared" si="41"/>
        <v>238.06002678414097</v>
      </c>
    </row>
    <row r="330" spans="1:16" ht="15.75" thickBot="1" x14ac:dyDescent="0.3">
      <c r="A330" t="str">
        <f t="shared" si="35"/>
        <v>GOOD</v>
      </c>
      <c r="B330" s="1">
        <v>1329</v>
      </c>
      <c r="C330" s="1">
        <v>132999</v>
      </c>
      <c r="D330" s="1">
        <v>9</v>
      </c>
      <c r="E330" s="1">
        <v>9</v>
      </c>
      <c r="F330" s="1" t="s">
        <v>396</v>
      </c>
      <c r="G330" s="1" t="s">
        <v>225</v>
      </c>
      <c r="H330" s="1">
        <v>14.5</v>
      </c>
      <c r="I330" s="1">
        <f t="shared" si="36"/>
        <v>1.4979338842975207E-3</v>
      </c>
      <c r="J330" s="2">
        <v>1058</v>
      </c>
      <c r="K330" s="3">
        <f t="shared" si="37"/>
        <v>2.3303964757709252</v>
      </c>
      <c r="L330" s="5">
        <f t="shared" si="38"/>
        <v>1555.7405438250039</v>
      </c>
      <c r="M330" s="5">
        <f t="shared" si="39"/>
        <v>25.929009063750065</v>
      </c>
      <c r="N330" t="s">
        <v>770</v>
      </c>
      <c r="O330">
        <f t="shared" si="40"/>
        <v>1058</v>
      </c>
      <c r="P330">
        <f t="shared" si="41"/>
        <v>174.37517885462557</v>
      </c>
    </row>
    <row r="331" spans="1:16" ht="15.75" thickBot="1" x14ac:dyDescent="0.3">
      <c r="A331" t="str">
        <f t="shared" si="35"/>
        <v>GOOD</v>
      </c>
      <c r="B331" s="1">
        <v>1330</v>
      </c>
      <c r="C331" s="1">
        <v>1330910</v>
      </c>
      <c r="D331" s="1">
        <v>9</v>
      </c>
      <c r="E331" s="1">
        <v>10</v>
      </c>
      <c r="F331" s="1" t="s">
        <v>234</v>
      </c>
      <c r="G331" s="1" t="s">
        <v>303</v>
      </c>
      <c r="H331" s="1">
        <v>14.5</v>
      </c>
      <c r="I331" s="1">
        <f t="shared" si="36"/>
        <v>1.4979338842975207E-3</v>
      </c>
      <c r="J331" s="2">
        <v>861.2</v>
      </c>
      <c r="K331" s="3">
        <f t="shared" si="37"/>
        <v>1.8969162995594715</v>
      </c>
      <c r="L331" s="5">
        <f t="shared" si="38"/>
        <v>1266.3551572231506</v>
      </c>
      <c r="M331" s="5">
        <f t="shared" si="39"/>
        <v>21.105919287052512</v>
      </c>
      <c r="N331" t="s">
        <v>771</v>
      </c>
      <c r="O331">
        <f t="shared" si="40"/>
        <v>861.2</v>
      </c>
      <c r="P331">
        <f t="shared" si="41"/>
        <v>141.93941779735684</v>
      </c>
    </row>
    <row r="332" spans="1:16" ht="15.75" thickBot="1" x14ac:dyDescent="0.3">
      <c r="A332" t="str">
        <f t="shared" si="35"/>
        <v>GOOD</v>
      </c>
      <c r="B332" s="1">
        <v>1331</v>
      </c>
      <c r="C332" s="1">
        <v>1331911</v>
      </c>
      <c r="D332" s="1">
        <v>9</v>
      </c>
      <c r="E332" s="1">
        <v>11</v>
      </c>
      <c r="F332" s="1" t="s">
        <v>335</v>
      </c>
      <c r="G332" s="1" t="s">
        <v>373</v>
      </c>
      <c r="H332" s="1">
        <v>14.5</v>
      </c>
      <c r="I332" s="1">
        <f t="shared" si="36"/>
        <v>1.4979338842975207E-3</v>
      </c>
      <c r="J332" s="2">
        <v>1065.4000000000001</v>
      </c>
      <c r="K332" s="3">
        <f t="shared" si="37"/>
        <v>2.346696035242291</v>
      </c>
      <c r="L332" s="5">
        <f t="shared" si="38"/>
        <v>1566.6219049065776</v>
      </c>
      <c r="M332" s="5">
        <f t="shared" si="39"/>
        <v>26.110365081776294</v>
      </c>
      <c r="N332" t="s">
        <v>772</v>
      </c>
      <c r="O332">
        <f t="shared" si="40"/>
        <v>1065.4000000000001</v>
      </c>
      <c r="P332">
        <f t="shared" si="41"/>
        <v>175.59481621145375</v>
      </c>
    </row>
    <row r="333" spans="1:16" ht="15.75" thickBot="1" x14ac:dyDescent="0.3">
      <c r="A333" t="str">
        <f t="shared" si="35"/>
        <v>GOOD</v>
      </c>
      <c r="B333" s="1">
        <v>1332</v>
      </c>
      <c r="C333" s="1">
        <v>1332912</v>
      </c>
      <c r="D333" s="1">
        <v>9</v>
      </c>
      <c r="E333" s="1">
        <v>12</v>
      </c>
      <c r="F333" s="1" t="s">
        <v>397</v>
      </c>
      <c r="G333" s="1" t="s">
        <v>398</v>
      </c>
      <c r="H333" s="1">
        <v>14.5</v>
      </c>
      <c r="I333" s="1">
        <f t="shared" si="36"/>
        <v>1.4979338842975207E-3</v>
      </c>
      <c r="J333" s="2">
        <v>753.7</v>
      </c>
      <c r="K333" s="3">
        <f t="shared" si="37"/>
        <v>1.6601321585903084</v>
      </c>
      <c r="L333" s="5">
        <f t="shared" si="38"/>
        <v>1108.2813307002887</v>
      </c>
      <c r="M333" s="5">
        <f t="shared" si="39"/>
        <v>18.471355511671479</v>
      </c>
      <c r="N333" t="s">
        <v>773</v>
      </c>
      <c r="O333">
        <f t="shared" si="40"/>
        <v>753.7</v>
      </c>
      <c r="P333">
        <f t="shared" si="41"/>
        <v>124.22171295154186</v>
      </c>
    </row>
    <row r="334" spans="1:16" ht="15.75" thickBot="1" x14ac:dyDescent="0.3">
      <c r="A334" t="str">
        <f t="shared" si="35"/>
        <v>GOOD</v>
      </c>
      <c r="B334" s="1">
        <v>1333</v>
      </c>
      <c r="C334" s="1">
        <v>1333913</v>
      </c>
      <c r="D334" s="1">
        <v>9</v>
      </c>
      <c r="E334" s="1">
        <v>13</v>
      </c>
      <c r="F334" s="1" t="s">
        <v>399</v>
      </c>
      <c r="G334" s="1" t="s">
        <v>346</v>
      </c>
      <c r="H334" s="1">
        <v>14.5</v>
      </c>
      <c r="I334" s="1">
        <f t="shared" si="36"/>
        <v>1.4979338842975207E-3</v>
      </c>
      <c r="J334" s="2">
        <v>949.3</v>
      </c>
      <c r="K334" s="3">
        <f t="shared" si="37"/>
        <v>2.0909691629955947</v>
      </c>
      <c r="L334" s="5">
        <f t="shared" si="38"/>
        <v>1395.9021722618866</v>
      </c>
      <c r="M334" s="5">
        <f t="shared" si="39"/>
        <v>23.265036204364776</v>
      </c>
      <c r="N334" t="s">
        <v>774</v>
      </c>
      <c r="O334">
        <f t="shared" si="40"/>
        <v>949.3</v>
      </c>
      <c r="P334">
        <f t="shared" si="41"/>
        <v>156.45969497797356</v>
      </c>
    </row>
    <row r="335" spans="1:16" ht="15.75" thickBot="1" x14ac:dyDescent="0.3">
      <c r="A335" t="str">
        <f t="shared" si="35"/>
        <v>GOOD</v>
      </c>
      <c r="B335" s="1">
        <v>1334</v>
      </c>
      <c r="C335" s="1">
        <v>1334914</v>
      </c>
      <c r="D335" s="1">
        <v>9</v>
      </c>
      <c r="E335" s="1">
        <v>14</v>
      </c>
      <c r="F335" s="1" t="s">
        <v>181</v>
      </c>
      <c r="G335" s="1" t="s">
        <v>400</v>
      </c>
      <c r="H335" s="1">
        <v>14.5</v>
      </c>
      <c r="I335" s="1">
        <f t="shared" si="36"/>
        <v>1.4979338842975207E-3</v>
      </c>
      <c r="J335" s="2">
        <v>818.9</v>
      </c>
      <c r="K335" s="3">
        <f t="shared" si="37"/>
        <v>1.8037444933920703</v>
      </c>
      <c r="L335" s="5">
        <f t="shared" si="38"/>
        <v>1204.1549445541546</v>
      </c>
      <c r="M335" s="5">
        <f t="shared" si="39"/>
        <v>20.069249075902576</v>
      </c>
      <c r="N335" t="s">
        <v>775</v>
      </c>
      <c r="O335">
        <f t="shared" si="40"/>
        <v>818.9</v>
      </c>
      <c r="P335">
        <f t="shared" si="41"/>
        <v>134.96770696035242</v>
      </c>
    </row>
    <row r="336" spans="1:16" ht="15.75" thickBot="1" x14ac:dyDescent="0.3">
      <c r="A336" t="str">
        <f t="shared" si="35"/>
        <v>GOOD</v>
      </c>
      <c r="B336" s="1">
        <v>1335</v>
      </c>
      <c r="C336" s="1">
        <v>1335915</v>
      </c>
      <c r="D336" s="1">
        <v>9</v>
      </c>
      <c r="E336" s="1">
        <v>15</v>
      </c>
      <c r="F336" s="1" t="s">
        <v>401</v>
      </c>
      <c r="G336" s="1" t="s">
        <v>151</v>
      </c>
      <c r="H336" s="1">
        <v>14.5</v>
      </c>
      <c r="I336" s="1">
        <f t="shared" si="36"/>
        <v>1.4979338842975207E-3</v>
      </c>
      <c r="J336" s="2">
        <v>1104</v>
      </c>
      <c r="K336" s="3">
        <f t="shared" si="37"/>
        <v>2.4317180616740086</v>
      </c>
      <c r="L336" s="5">
        <f t="shared" si="38"/>
        <v>1623.3814370347864</v>
      </c>
      <c r="M336" s="5">
        <f t="shared" si="39"/>
        <v>27.056357283913105</v>
      </c>
      <c r="N336" t="s">
        <v>776</v>
      </c>
      <c r="O336">
        <f t="shared" si="40"/>
        <v>1104</v>
      </c>
      <c r="P336">
        <f t="shared" si="41"/>
        <v>181.95670837004403</v>
      </c>
    </row>
    <row r="337" spans="1:16" ht="15.75" thickBot="1" x14ac:dyDescent="0.3">
      <c r="A337" t="str">
        <f t="shared" si="35"/>
        <v>GOOD</v>
      </c>
      <c r="B337" s="1">
        <v>1336</v>
      </c>
      <c r="C337" s="1">
        <v>1336916</v>
      </c>
      <c r="D337" s="1">
        <v>9</v>
      </c>
      <c r="E337" s="1">
        <v>16</v>
      </c>
      <c r="F337" s="1" t="s">
        <v>159</v>
      </c>
      <c r="G337" s="1" t="s">
        <v>52</v>
      </c>
      <c r="H337" s="1">
        <v>14.5</v>
      </c>
      <c r="I337" s="1">
        <f t="shared" si="36"/>
        <v>1.4979338842975207E-3</v>
      </c>
      <c r="J337" s="2">
        <v>626.4</v>
      </c>
      <c r="K337" s="3">
        <f t="shared" si="37"/>
        <v>1.3797356828193832</v>
      </c>
      <c r="L337" s="5">
        <f t="shared" si="38"/>
        <v>921.09251101321581</v>
      </c>
      <c r="M337" s="5">
        <f t="shared" si="39"/>
        <v>15.351541850220263</v>
      </c>
      <c r="N337" t="s">
        <v>777</v>
      </c>
      <c r="O337">
        <f t="shared" si="40"/>
        <v>626.4</v>
      </c>
      <c r="P337">
        <f t="shared" si="41"/>
        <v>103.2406540969163</v>
      </c>
    </row>
    <row r="338" spans="1:16" ht="15.75" thickBot="1" x14ac:dyDescent="0.3">
      <c r="A338" t="str">
        <f t="shared" si="35"/>
        <v>GOOD</v>
      </c>
      <c r="B338" s="1">
        <v>1337</v>
      </c>
      <c r="C338" s="1">
        <v>1337917</v>
      </c>
      <c r="D338" s="1">
        <v>9</v>
      </c>
      <c r="E338" s="1">
        <v>17</v>
      </c>
      <c r="F338" s="1" t="s">
        <v>36</v>
      </c>
      <c r="G338" s="1" t="s">
        <v>402</v>
      </c>
      <c r="H338" s="1">
        <v>14.5</v>
      </c>
      <c r="I338" s="1">
        <f t="shared" si="36"/>
        <v>1.4979338842975207E-3</v>
      </c>
      <c r="J338" s="2">
        <v>918.8</v>
      </c>
      <c r="K338" s="3">
        <f t="shared" si="37"/>
        <v>2.0237885462555063</v>
      </c>
      <c r="L338" s="5">
        <f t="shared" si="38"/>
        <v>1351.0533191554</v>
      </c>
      <c r="M338" s="5">
        <f t="shared" si="39"/>
        <v>22.517555319256665</v>
      </c>
      <c r="N338" t="s">
        <v>778</v>
      </c>
      <c r="O338">
        <f t="shared" si="40"/>
        <v>918.8</v>
      </c>
      <c r="P338">
        <f t="shared" si="41"/>
        <v>151.43281127753301</v>
      </c>
    </row>
    <row r="339" spans="1:16" ht="15.75" thickBot="1" x14ac:dyDescent="0.3">
      <c r="A339" t="str">
        <f t="shared" si="35"/>
        <v>GOOD</v>
      </c>
      <c r="B339" s="1">
        <v>1338</v>
      </c>
      <c r="C339" s="1">
        <v>1338918</v>
      </c>
      <c r="D339" s="1">
        <v>9</v>
      </c>
      <c r="E339" s="1">
        <v>18</v>
      </c>
      <c r="F339" s="1" t="s">
        <v>230</v>
      </c>
      <c r="G339" s="1" t="s">
        <v>278</v>
      </c>
      <c r="H339" s="1">
        <v>14.5</v>
      </c>
      <c r="I339" s="1">
        <f t="shared" si="36"/>
        <v>1.4979338842975207E-3</v>
      </c>
      <c r="J339" s="2">
        <v>855</v>
      </c>
      <c r="K339" s="3">
        <f t="shared" si="37"/>
        <v>1.8832599118942732</v>
      </c>
      <c r="L339" s="5">
        <f t="shared" si="38"/>
        <v>1257.2383411818321</v>
      </c>
      <c r="M339" s="5">
        <f t="shared" si="39"/>
        <v>20.953972353030533</v>
      </c>
      <c r="N339" t="s">
        <v>779</v>
      </c>
      <c r="O339">
        <f t="shared" si="40"/>
        <v>855</v>
      </c>
      <c r="P339">
        <f t="shared" si="41"/>
        <v>140.91755947136565</v>
      </c>
    </row>
    <row r="340" spans="1:16" ht="15.75" thickBot="1" x14ac:dyDescent="0.3">
      <c r="A340" t="str">
        <f t="shared" si="35"/>
        <v>GOOD</v>
      </c>
      <c r="B340" s="1">
        <v>1339</v>
      </c>
      <c r="C340" s="1">
        <v>1339919</v>
      </c>
      <c r="D340" s="1">
        <v>9</v>
      </c>
      <c r="E340" s="1">
        <v>19</v>
      </c>
      <c r="F340" s="1" t="s">
        <v>11</v>
      </c>
      <c r="G340" s="1" t="s">
        <v>12</v>
      </c>
      <c r="H340" s="1">
        <v>14.5</v>
      </c>
      <c r="I340" s="1">
        <f t="shared" si="36"/>
        <v>1.4979338842975207E-3</v>
      </c>
      <c r="J340" s="2">
        <v>1218.8</v>
      </c>
      <c r="K340" s="3">
        <f t="shared" si="37"/>
        <v>2.6845814977973568</v>
      </c>
      <c r="L340" s="5">
        <f t="shared" si="38"/>
        <v>1792.1895792192008</v>
      </c>
      <c r="M340" s="5">
        <f t="shared" si="39"/>
        <v>29.869826320320012</v>
      </c>
      <c r="N340" t="s">
        <v>780</v>
      </c>
      <c r="O340">
        <f t="shared" si="40"/>
        <v>1218.8</v>
      </c>
      <c r="P340">
        <f t="shared" si="41"/>
        <v>200.87756898678413</v>
      </c>
    </row>
    <row r="341" spans="1:16" ht="15.75" thickBot="1" x14ac:dyDescent="0.3">
      <c r="A341" t="str">
        <f t="shared" si="35"/>
        <v>GOOD</v>
      </c>
      <c r="B341" s="1">
        <v>1340</v>
      </c>
      <c r="C341" s="1">
        <v>1340920</v>
      </c>
      <c r="D341" s="1">
        <v>9</v>
      </c>
      <c r="E341" s="1">
        <v>20</v>
      </c>
      <c r="F341" s="1" t="s">
        <v>40</v>
      </c>
      <c r="G341" s="1" t="s">
        <v>403</v>
      </c>
      <c r="H341" s="1">
        <v>14.5</v>
      </c>
      <c r="I341" s="1">
        <f t="shared" si="36"/>
        <v>1.4979338842975207E-3</v>
      </c>
      <c r="J341" s="2">
        <v>801.9</v>
      </c>
      <c r="K341" s="3">
        <f t="shared" si="37"/>
        <v>1.7662995594713655</v>
      </c>
      <c r="L341" s="5">
        <f t="shared" si="38"/>
        <v>1179.157223150539</v>
      </c>
      <c r="M341" s="5">
        <f t="shared" si="39"/>
        <v>19.652620385842319</v>
      </c>
      <c r="N341" t="s">
        <v>781</v>
      </c>
      <c r="O341">
        <f t="shared" si="40"/>
        <v>801.9</v>
      </c>
      <c r="P341">
        <f t="shared" si="41"/>
        <v>132.16583735682818</v>
      </c>
    </row>
    <row r="342" spans="1:16" ht="15.75" thickBot="1" x14ac:dyDescent="0.3">
      <c r="A342" t="str">
        <f t="shared" si="35"/>
        <v>GOOD</v>
      </c>
      <c r="B342" s="1">
        <v>1341</v>
      </c>
      <c r="C342" s="1">
        <v>1341921</v>
      </c>
      <c r="D342" s="1">
        <v>9</v>
      </c>
      <c r="E342" s="1">
        <v>21</v>
      </c>
      <c r="F342" s="1" t="s">
        <v>200</v>
      </c>
      <c r="G342" s="1" t="s">
        <v>404</v>
      </c>
      <c r="H342" s="1">
        <v>14.5</v>
      </c>
      <c r="I342" s="1">
        <f t="shared" si="36"/>
        <v>1.4979338842975207E-3</v>
      </c>
      <c r="J342" s="2">
        <v>987.3</v>
      </c>
      <c r="K342" s="3">
        <f t="shared" si="37"/>
        <v>2.174669603524229</v>
      </c>
      <c r="L342" s="5">
        <f t="shared" si="38"/>
        <v>1451.779431869968</v>
      </c>
      <c r="M342" s="5">
        <f t="shared" si="39"/>
        <v>24.196323864499465</v>
      </c>
      <c r="N342" t="s">
        <v>782</v>
      </c>
      <c r="O342">
        <f t="shared" si="40"/>
        <v>987.3</v>
      </c>
      <c r="P342">
        <f t="shared" si="41"/>
        <v>162.72269762114536</v>
      </c>
    </row>
    <row r="343" spans="1:16" ht="15.75" thickBot="1" x14ac:dyDescent="0.3">
      <c r="A343" t="str">
        <f t="shared" si="35"/>
        <v>GOOD</v>
      </c>
      <c r="B343" s="1">
        <v>1342</v>
      </c>
      <c r="C343" s="1">
        <v>1342922</v>
      </c>
      <c r="D343" s="1">
        <v>9</v>
      </c>
      <c r="E343" s="1">
        <v>22</v>
      </c>
      <c r="F343" s="1" t="s">
        <v>405</v>
      </c>
      <c r="G343" s="1" t="s">
        <v>308</v>
      </c>
      <c r="H343" s="1">
        <v>14.5</v>
      </c>
      <c r="I343" s="1">
        <f t="shared" si="36"/>
        <v>1.4979338842975207E-3</v>
      </c>
      <c r="J343" s="2">
        <v>797.8</v>
      </c>
      <c r="K343" s="3">
        <f t="shared" si="37"/>
        <v>1.7572687224669603</v>
      </c>
      <c r="L343" s="5">
        <f t="shared" si="38"/>
        <v>1173.1283609296672</v>
      </c>
      <c r="M343" s="5">
        <f t="shared" si="39"/>
        <v>19.552139348827787</v>
      </c>
      <c r="N343" t="s">
        <v>783</v>
      </c>
      <c r="O343">
        <f t="shared" si="40"/>
        <v>797.8</v>
      </c>
      <c r="P343">
        <f t="shared" si="41"/>
        <v>131.49009233480174</v>
      </c>
    </row>
    <row r="344" spans="1:16" ht="15.75" thickBot="1" x14ac:dyDescent="0.3">
      <c r="A344" t="str">
        <f t="shared" si="35"/>
        <v>GOOD</v>
      </c>
      <c r="B344" s="1">
        <v>1343</v>
      </c>
      <c r="C344" s="1">
        <v>1343923</v>
      </c>
      <c r="D344" s="1">
        <v>9</v>
      </c>
      <c r="E344" s="1">
        <v>23</v>
      </c>
      <c r="F344" s="1" t="s">
        <v>51</v>
      </c>
      <c r="G344" s="1" t="s">
        <v>406</v>
      </c>
      <c r="H344" s="1">
        <v>14.5</v>
      </c>
      <c r="I344" s="1">
        <f t="shared" si="36"/>
        <v>1.4979338842975207E-3</v>
      </c>
      <c r="J344" s="2">
        <v>999.3</v>
      </c>
      <c r="K344" s="3">
        <f t="shared" si="37"/>
        <v>2.2011013215859028</v>
      </c>
      <c r="L344" s="5">
        <f t="shared" si="38"/>
        <v>1469.4248822725199</v>
      </c>
      <c r="M344" s="5">
        <f t="shared" si="39"/>
        <v>24.490414704541998</v>
      </c>
      <c r="N344" t="s">
        <v>784</v>
      </c>
      <c r="O344">
        <f t="shared" si="40"/>
        <v>999.3</v>
      </c>
      <c r="P344">
        <f t="shared" si="41"/>
        <v>164.70048792951539</v>
      </c>
    </row>
    <row r="345" spans="1:16" ht="15.75" thickBot="1" x14ac:dyDescent="0.3">
      <c r="A345" t="str">
        <f t="shared" si="35"/>
        <v>GOOD</v>
      </c>
      <c r="B345" s="1">
        <v>1344</v>
      </c>
      <c r="C345" s="1">
        <v>1344924</v>
      </c>
      <c r="D345" s="1">
        <v>9</v>
      </c>
      <c r="E345" s="1">
        <v>24</v>
      </c>
      <c r="F345" s="1" t="s">
        <v>132</v>
      </c>
      <c r="G345" s="1" t="s">
        <v>141</v>
      </c>
      <c r="H345" s="1">
        <v>14.5</v>
      </c>
      <c r="I345" s="1">
        <f t="shared" si="36"/>
        <v>1.4979338842975207E-3</v>
      </c>
      <c r="J345" s="2">
        <v>900.9</v>
      </c>
      <c r="K345" s="3">
        <f t="shared" si="37"/>
        <v>1.9843612334801761</v>
      </c>
      <c r="L345" s="5">
        <f t="shared" si="38"/>
        <v>1324.7321889715934</v>
      </c>
      <c r="M345" s="5">
        <f t="shared" si="39"/>
        <v>22.078869816193222</v>
      </c>
      <c r="N345" t="s">
        <v>785</v>
      </c>
      <c r="O345">
        <f t="shared" si="40"/>
        <v>900.9</v>
      </c>
      <c r="P345">
        <f t="shared" si="41"/>
        <v>148.48260740088105</v>
      </c>
    </row>
    <row r="346" spans="1:16" ht="15.75" thickBot="1" x14ac:dyDescent="0.3">
      <c r="A346" t="str">
        <f t="shared" si="35"/>
        <v>GOOD</v>
      </c>
      <c r="B346" s="1">
        <v>1345</v>
      </c>
      <c r="C346" s="1">
        <v>1345925</v>
      </c>
      <c r="D346" s="1">
        <v>9</v>
      </c>
      <c r="E346" s="1">
        <v>25</v>
      </c>
      <c r="F346" s="1" t="s">
        <v>363</v>
      </c>
      <c r="G346" s="1" t="s">
        <v>82</v>
      </c>
      <c r="H346" s="1">
        <v>14.5</v>
      </c>
      <c r="I346" s="1">
        <f t="shared" si="36"/>
        <v>1.4979338842975207E-3</v>
      </c>
      <c r="J346" s="2">
        <v>961.5</v>
      </c>
      <c r="K346" s="3">
        <f t="shared" si="37"/>
        <v>2.1178414096916298</v>
      </c>
      <c r="L346" s="5">
        <f t="shared" si="38"/>
        <v>1413.841713504481</v>
      </c>
      <c r="M346" s="5">
        <f t="shared" si="39"/>
        <v>23.564028558408019</v>
      </c>
      <c r="N346" t="s">
        <v>786</v>
      </c>
      <c r="O346">
        <f t="shared" si="40"/>
        <v>961.5</v>
      </c>
      <c r="P346">
        <f t="shared" si="41"/>
        <v>158.47044845814978</v>
      </c>
    </row>
    <row r="347" spans="1:16" ht="15.75" thickBot="1" x14ac:dyDescent="0.3">
      <c r="A347" t="str">
        <f t="shared" si="35"/>
        <v>GOOD</v>
      </c>
      <c r="B347" s="1">
        <v>1346</v>
      </c>
      <c r="C347" s="1">
        <v>1346926</v>
      </c>
      <c r="D347" s="1">
        <v>9</v>
      </c>
      <c r="E347" s="1">
        <v>26</v>
      </c>
      <c r="F347" s="1" t="s">
        <v>117</v>
      </c>
      <c r="G347" s="1" t="s">
        <v>101</v>
      </c>
      <c r="H347" s="1">
        <v>14.5</v>
      </c>
      <c r="I347" s="1">
        <f t="shared" si="36"/>
        <v>1.4979338842975207E-3</v>
      </c>
      <c r="J347" s="2">
        <v>893.4</v>
      </c>
      <c r="K347" s="3">
        <f t="shared" si="37"/>
        <v>1.9678414096916299</v>
      </c>
      <c r="L347" s="5">
        <f t="shared" si="38"/>
        <v>1313.7037824699983</v>
      </c>
      <c r="M347" s="5">
        <f t="shared" si="39"/>
        <v>21.895063041166637</v>
      </c>
      <c r="N347" t="s">
        <v>787</v>
      </c>
      <c r="O347">
        <f t="shared" si="40"/>
        <v>893.4</v>
      </c>
      <c r="P347">
        <f t="shared" si="41"/>
        <v>147.24648845814977</v>
      </c>
    </row>
    <row r="348" spans="1:16" ht="15.75" thickBot="1" x14ac:dyDescent="0.3">
      <c r="A348" t="str">
        <f t="shared" si="35"/>
        <v>GOOD</v>
      </c>
      <c r="B348" s="1">
        <v>1347</v>
      </c>
      <c r="C348" s="1">
        <v>1347927</v>
      </c>
      <c r="D348" s="1">
        <v>9</v>
      </c>
      <c r="E348" s="1">
        <v>27</v>
      </c>
      <c r="F348" s="1" t="s">
        <v>407</v>
      </c>
      <c r="G348" s="1" t="s">
        <v>408</v>
      </c>
      <c r="H348" s="1">
        <v>14.5</v>
      </c>
      <c r="I348" s="1">
        <f t="shared" si="36"/>
        <v>1.4979338842975207E-3</v>
      </c>
      <c r="J348" s="2">
        <v>923.8</v>
      </c>
      <c r="K348" s="3">
        <f t="shared" si="37"/>
        <v>2.0348017621145376</v>
      </c>
      <c r="L348" s="5">
        <f t="shared" si="38"/>
        <v>1358.4055901564636</v>
      </c>
      <c r="M348" s="5">
        <f t="shared" si="39"/>
        <v>22.640093169274394</v>
      </c>
      <c r="N348" t="s">
        <v>788</v>
      </c>
      <c r="O348">
        <f t="shared" si="40"/>
        <v>923.8</v>
      </c>
      <c r="P348">
        <f t="shared" si="41"/>
        <v>152.25689057268724</v>
      </c>
    </row>
    <row r="349" spans="1:16" ht="15.75" thickBot="1" x14ac:dyDescent="0.3">
      <c r="A349" t="str">
        <f t="shared" si="35"/>
        <v>GOOD</v>
      </c>
      <c r="B349" s="1">
        <v>1348</v>
      </c>
      <c r="C349" s="1">
        <v>1348928</v>
      </c>
      <c r="D349" s="1">
        <v>9</v>
      </c>
      <c r="E349" s="1">
        <v>28</v>
      </c>
      <c r="F349" s="1" t="s">
        <v>130</v>
      </c>
      <c r="G349" s="1" t="s">
        <v>158</v>
      </c>
      <c r="H349" s="1">
        <v>14.5</v>
      </c>
      <c r="I349" s="1">
        <f t="shared" si="36"/>
        <v>1.4979338842975207E-3</v>
      </c>
      <c r="J349" s="2">
        <v>923</v>
      </c>
      <c r="K349" s="3">
        <f t="shared" si="37"/>
        <v>2.0330396475770924</v>
      </c>
      <c r="L349" s="5">
        <f t="shared" si="38"/>
        <v>1357.2292267962935</v>
      </c>
      <c r="M349" s="5">
        <f t="shared" si="39"/>
        <v>22.620487113271558</v>
      </c>
      <c r="N349" t="s">
        <v>789</v>
      </c>
      <c r="O349">
        <f t="shared" si="40"/>
        <v>923</v>
      </c>
      <c r="P349">
        <f t="shared" si="41"/>
        <v>152.12503788546255</v>
      </c>
    </row>
    <row r="350" spans="1:16" ht="15.75" thickBot="1" x14ac:dyDescent="0.3">
      <c r="A350" t="str">
        <f t="shared" si="35"/>
        <v>GOOD</v>
      </c>
      <c r="B350" s="1">
        <v>1349</v>
      </c>
      <c r="C350" s="1">
        <v>1349929</v>
      </c>
      <c r="D350" s="1">
        <v>9</v>
      </c>
      <c r="E350" s="1">
        <v>29</v>
      </c>
      <c r="F350" s="1" t="s">
        <v>409</v>
      </c>
      <c r="G350" s="1" t="s">
        <v>410</v>
      </c>
      <c r="H350" s="1">
        <v>14.5</v>
      </c>
      <c r="I350" s="1">
        <f t="shared" si="36"/>
        <v>1.4979338842975207E-3</v>
      </c>
      <c r="J350" s="2">
        <v>381.7</v>
      </c>
      <c r="K350" s="3">
        <f t="shared" si="37"/>
        <v>0.84074889867841407</v>
      </c>
      <c r="L350" s="5">
        <f t="shared" si="38"/>
        <v>561.27236822117573</v>
      </c>
      <c r="M350" s="5">
        <f t="shared" si="39"/>
        <v>9.354539470352929</v>
      </c>
      <c r="N350" t="s">
        <v>790</v>
      </c>
      <c r="O350">
        <f t="shared" si="40"/>
        <v>381.7</v>
      </c>
      <c r="P350">
        <f t="shared" si="41"/>
        <v>62.910213392070482</v>
      </c>
    </row>
    <row r="351" spans="1:16" ht="15.75" thickBot="1" x14ac:dyDescent="0.3">
      <c r="A351" t="str">
        <f t="shared" si="35"/>
        <v>GOOD</v>
      </c>
      <c r="B351" s="1">
        <v>1350</v>
      </c>
      <c r="C351" s="1">
        <v>1350930</v>
      </c>
      <c r="D351" s="1">
        <v>9</v>
      </c>
      <c r="E351" s="1">
        <v>30</v>
      </c>
      <c r="F351" s="1" t="s">
        <v>289</v>
      </c>
      <c r="G351" s="1" t="s">
        <v>37</v>
      </c>
      <c r="H351" s="1">
        <v>14.5</v>
      </c>
      <c r="I351" s="1">
        <f t="shared" si="36"/>
        <v>1.4979338842975207E-3</v>
      </c>
      <c r="J351" s="2">
        <v>827.4</v>
      </c>
      <c r="K351" s="3">
        <f t="shared" si="37"/>
        <v>1.8224669603524228</v>
      </c>
      <c r="L351" s="5">
        <f t="shared" si="38"/>
        <v>1216.6538052559622</v>
      </c>
      <c r="M351" s="5">
        <f t="shared" si="39"/>
        <v>20.277563420932704</v>
      </c>
      <c r="N351" t="s">
        <v>791</v>
      </c>
      <c r="O351">
        <f t="shared" si="40"/>
        <v>827.4</v>
      </c>
      <c r="P351">
        <f t="shared" si="41"/>
        <v>136.36864176211452</v>
      </c>
    </row>
    <row r="352" spans="1:16" ht="15.75" thickBot="1" x14ac:dyDescent="0.3">
      <c r="A352" t="str">
        <f t="shared" si="35"/>
        <v>GOOD</v>
      </c>
      <c r="B352" s="1">
        <v>1351</v>
      </c>
      <c r="C352" s="1">
        <v>1351931</v>
      </c>
      <c r="D352" s="1">
        <v>9</v>
      </c>
      <c r="E352" s="1">
        <v>31</v>
      </c>
      <c r="F352" s="1" t="s">
        <v>36</v>
      </c>
      <c r="G352" s="1" t="s">
        <v>60</v>
      </c>
      <c r="H352" s="1">
        <v>14.5</v>
      </c>
      <c r="I352" s="1">
        <f t="shared" si="36"/>
        <v>1.4979338842975207E-3</v>
      </c>
      <c r="J352" s="2">
        <v>743.3</v>
      </c>
      <c r="K352" s="3">
        <f t="shared" si="37"/>
        <v>1.6372246696035242</v>
      </c>
      <c r="L352" s="5">
        <f t="shared" si="38"/>
        <v>1092.9886070180769</v>
      </c>
      <c r="M352" s="5">
        <f t="shared" si="39"/>
        <v>18.216476783634615</v>
      </c>
      <c r="N352" t="s">
        <v>792</v>
      </c>
      <c r="O352">
        <f t="shared" si="40"/>
        <v>743.3</v>
      </c>
      <c r="P352">
        <f t="shared" si="41"/>
        <v>122.50762801762116</v>
      </c>
    </row>
    <row r="353" spans="1:16" ht="15.75" thickBot="1" x14ac:dyDescent="0.3">
      <c r="A353" t="str">
        <f t="shared" si="35"/>
        <v>GOOD</v>
      </c>
      <c r="B353" s="1">
        <v>1352</v>
      </c>
      <c r="C353" s="1">
        <v>1352932</v>
      </c>
      <c r="D353" s="1">
        <v>9</v>
      </c>
      <c r="E353" s="1">
        <v>32</v>
      </c>
      <c r="F353" s="1" t="s">
        <v>372</v>
      </c>
      <c r="G353" s="1" t="s">
        <v>408</v>
      </c>
      <c r="H353" s="1">
        <v>14.5</v>
      </c>
      <c r="I353" s="1">
        <f t="shared" si="36"/>
        <v>1.4979338842975207E-3</v>
      </c>
      <c r="J353" s="2">
        <v>671.3</v>
      </c>
      <c r="K353" s="3">
        <f t="shared" si="37"/>
        <v>1.47863436123348</v>
      </c>
      <c r="L353" s="5">
        <f t="shared" si="38"/>
        <v>987.11590460276454</v>
      </c>
      <c r="M353" s="5">
        <f t="shared" si="39"/>
        <v>16.451931743379408</v>
      </c>
      <c r="N353" t="s">
        <v>793</v>
      </c>
      <c r="O353">
        <f t="shared" si="40"/>
        <v>671.3</v>
      </c>
      <c r="P353">
        <f t="shared" si="41"/>
        <v>110.64088616740086</v>
      </c>
    </row>
    <row r="354" spans="1:16" ht="15.75" thickBot="1" x14ac:dyDescent="0.3">
      <c r="A354" t="str">
        <f t="shared" si="35"/>
        <v>GOOD</v>
      </c>
      <c r="B354" s="1">
        <v>1353</v>
      </c>
      <c r="C354" s="1">
        <v>1353933</v>
      </c>
      <c r="D354" s="1">
        <v>9</v>
      </c>
      <c r="E354" s="1">
        <v>33</v>
      </c>
      <c r="F354" s="1" t="s">
        <v>51</v>
      </c>
      <c r="G354" s="1" t="s">
        <v>411</v>
      </c>
      <c r="H354" s="1">
        <v>14.5</v>
      </c>
      <c r="I354" s="1">
        <f t="shared" si="36"/>
        <v>1.4979338842975207E-3</v>
      </c>
      <c r="J354" s="2">
        <v>736.6</v>
      </c>
      <c r="K354" s="3">
        <f t="shared" si="37"/>
        <v>1.6224669603524229</v>
      </c>
      <c r="L354" s="5">
        <f t="shared" si="38"/>
        <v>1083.136563876652</v>
      </c>
      <c r="M354" s="5">
        <f t="shared" si="39"/>
        <v>18.052276064610865</v>
      </c>
      <c r="N354" t="s">
        <v>794</v>
      </c>
      <c r="O354">
        <f t="shared" si="40"/>
        <v>736.6</v>
      </c>
      <c r="P354">
        <f t="shared" si="41"/>
        <v>121.40336176211454</v>
      </c>
    </row>
    <row r="355" spans="1:16" ht="15.75" thickBot="1" x14ac:dyDescent="0.3">
      <c r="A355" t="str">
        <f t="shared" si="35"/>
        <v>GOOD</v>
      </c>
      <c r="B355" s="1">
        <v>1354</v>
      </c>
      <c r="C355" s="1">
        <v>1354934</v>
      </c>
      <c r="D355" s="1">
        <v>9</v>
      </c>
      <c r="E355" s="1">
        <v>34</v>
      </c>
      <c r="F355" s="1" t="s">
        <v>399</v>
      </c>
      <c r="G355" s="1" t="s">
        <v>259</v>
      </c>
      <c r="H355" s="1">
        <v>14.5</v>
      </c>
      <c r="I355" s="1">
        <f t="shared" si="36"/>
        <v>1.4979338842975207E-3</v>
      </c>
      <c r="J355" s="2">
        <v>1077.2</v>
      </c>
      <c r="K355" s="3">
        <f t="shared" si="37"/>
        <v>2.3726872246696038</v>
      </c>
      <c r="L355" s="5">
        <f t="shared" si="38"/>
        <v>1583.9732644690871</v>
      </c>
      <c r="M355" s="5">
        <f t="shared" si="39"/>
        <v>26.399554407818119</v>
      </c>
      <c r="N355" t="s">
        <v>795</v>
      </c>
      <c r="O355">
        <f t="shared" si="40"/>
        <v>1077.2</v>
      </c>
      <c r="P355">
        <f t="shared" si="41"/>
        <v>177.53964334801762</v>
      </c>
    </row>
    <row r="356" spans="1:16" ht="15.75" thickBot="1" x14ac:dyDescent="0.3">
      <c r="A356" t="str">
        <f t="shared" si="35"/>
        <v>GOOD</v>
      </c>
      <c r="B356" s="1">
        <v>1355</v>
      </c>
      <c r="C356" s="1">
        <v>1355935</v>
      </c>
      <c r="D356" s="1">
        <v>9</v>
      </c>
      <c r="E356" s="1">
        <v>35</v>
      </c>
      <c r="F356" s="1" t="s">
        <v>210</v>
      </c>
      <c r="G356" s="1" t="s">
        <v>211</v>
      </c>
      <c r="H356" s="1">
        <v>14.5</v>
      </c>
      <c r="I356" s="1">
        <f t="shared" si="36"/>
        <v>1.4979338842975207E-3</v>
      </c>
      <c r="J356" s="2">
        <v>1063.8</v>
      </c>
      <c r="K356" s="3">
        <f t="shared" si="37"/>
        <v>2.3431718061674007</v>
      </c>
      <c r="L356" s="5">
        <f t="shared" si="38"/>
        <v>1564.269178186237</v>
      </c>
      <c r="M356" s="5">
        <f t="shared" si="39"/>
        <v>26.071152969770615</v>
      </c>
      <c r="N356" t="s">
        <v>796</v>
      </c>
      <c r="O356">
        <f t="shared" si="40"/>
        <v>1063.8</v>
      </c>
      <c r="P356">
        <f t="shared" si="41"/>
        <v>175.33111083700439</v>
      </c>
    </row>
    <row r="357" spans="1:16" ht="15.75" thickBot="1" x14ac:dyDescent="0.3">
      <c r="A357" t="str">
        <f t="shared" si="35"/>
        <v>GOOD</v>
      </c>
      <c r="B357" s="1">
        <v>1356</v>
      </c>
      <c r="C357" s="1">
        <v>1356936</v>
      </c>
      <c r="D357" s="1">
        <v>9</v>
      </c>
      <c r="E357" s="1">
        <v>36</v>
      </c>
      <c r="F357" s="1" t="s">
        <v>335</v>
      </c>
      <c r="G357" s="1" t="s">
        <v>373</v>
      </c>
      <c r="H357" s="1">
        <v>14.5</v>
      </c>
      <c r="I357" s="1">
        <f t="shared" si="36"/>
        <v>1.4979338842975207E-3</v>
      </c>
      <c r="J357" s="2">
        <v>663</v>
      </c>
      <c r="K357" s="3">
        <f t="shared" si="37"/>
        <v>1.4603524229074889</v>
      </c>
      <c r="L357" s="5">
        <f t="shared" si="38"/>
        <v>974.91113474099939</v>
      </c>
      <c r="M357" s="5">
        <f t="shared" si="39"/>
        <v>16.24851891234999</v>
      </c>
      <c r="N357" t="s">
        <v>797</v>
      </c>
      <c r="O357">
        <f t="shared" si="40"/>
        <v>663</v>
      </c>
      <c r="P357">
        <f t="shared" si="41"/>
        <v>109.27291453744492</v>
      </c>
    </row>
    <row r="358" spans="1:16" ht="15.75" thickBot="1" x14ac:dyDescent="0.3">
      <c r="A358" t="str">
        <f t="shared" si="35"/>
        <v>GOOD</v>
      </c>
      <c r="B358" s="1">
        <v>1357</v>
      </c>
      <c r="C358" s="1">
        <v>1357937</v>
      </c>
      <c r="D358" s="1">
        <v>9</v>
      </c>
      <c r="E358" s="1">
        <v>37</v>
      </c>
      <c r="F358" s="1" t="s">
        <v>399</v>
      </c>
      <c r="G358" s="1" t="s">
        <v>412</v>
      </c>
      <c r="H358" s="1">
        <v>14.5</v>
      </c>
      <c r="I358" s="1">
        <f t="shared" si="36"/>
        <v>1.4979338842975207E-3</v>
      </c>
      <c r="J358" s="2">
        <v>1190.5999999999999</v>
      </c>
      <c r="K358" s="3">
        <f t="shared" si="37"/>
        <v>2.6224669603524227</v>
      </c>
      <c r="L358" s="5">
        <f t="shared" si="38"/>
        <v>1750.7227707732034</v>
      </c>
      <c r="M358" s="5">
        <f t="shared" si="39"/>
        <v>29.178712846220055</v>
      </c>
      <c r="N358" t="s">
        <v>798</v>
      </c>
      <c r="O358">
        <f t="shared" si="40"/>
        <v>1190.5999999999999</v>
      </c>
      <c r="P358">
        <f t="shared" si="41"/>
        <v>196.22976176211449</v>
      </c>
    </row>
    <row r="359" spans="1:16" ht="15.75" thickBot="1" x14ac:dyDescent="0.3">
      <c r="A359" t="str">
        <f t="shared" si="35"/>
        <v>GOOD</v>
      </c>
      <c r="B359" s="1">
        <v>1358</v>
      </c>
      <c r="C359" s="1">
        <v>1358938</v>
      </c>
      <c r="D359" s="1">
        <v>9</v>
      </c>
      <c r="E359" s="1">
        <v>38</v>
      </c>
      <c r="F359" s="1" t="s">
        <v>413</v>
      </c>
      <c r="G359" s="1" t="s">
        <v>107</v>
      </c>
      <c r="H359" s="1">
        <v>14.5</v>
      </c>
      <c r="I359" s="1">
        <f t="shared" si="36"/>
        <v>1.4979338842975207E-3</v>
      </c>
      <c r="J359" s="2">
        <v>443.8</v>
      </c>
      <c r="K359" s="3">
        <f t="shared" si="37"/>
        <v>0.9775330396475771</v>
      </c>
      <c r="L359" s="5">
        <f t="shared" si="38"/>
        <v>652.58757405438246</v>
      </c>
      <c r="M359" s="5">
        <f t="shared" si="39"/>
        <v>10.876459567573042</v>
      </c>
      <c r="N359" t="s">
        <v>799</v>
      </c>
      <c r="O359">
        <f t="shared" si="40"/>
        <v>443.8</v>
      </c>
      <c r="P359">
        <f t="shared" si="41"/>
        <v>73.145278237885464</v>
      </c>
    </row>
    <row r="360" spans="1:16" ht="15.75" thickBot="1" x14ac:dyDescent="0.3">
      <c r="A360" t="str">
        <f t="shared" si="35"/>
        <v>GOOD</v>
      </c>
      <c r="B360" s="1">
        <v>1359</v>
      </c>
      <c r="C360" s="1">
        <v>1359939</v>
      </c>
      <c r="D360" s="1">
        <v>9</v>
      </c>
      <c r="E360" s="1">
        <v>39</v>
      </c>
      <c r="F360" s="1" t="s">
        <v>241</v>
      </c>
      <c r="G360" s="1" t="s">
        <v>414</v>
      </c>
      <c r="H360" s="1">
        <v>14.5</v>
      </c>
      <c r="I360" s="1">
        <f t="shared" si="36"/>
        <v>1.4979338842975207E-3</v>
      </c>
      <c r="J360" s="2">
        <v>619</v>
      </c>
      <c r="K360" s="3">
        <f t="shared" si="37"/>
        <v>1.3634361233480177</v>
      </c>
      <c r="L360" s="5">
        <f t="shared" si="38"/>
        <v>910.21114993164213</v>
      </c>
      <c r="M360" s="5">
        <f t="shared" si="39"/>
        <v>15.170185832194035</v>
      </c>
      <c r="N360" t="s">
        <v>800</v>
      </c>
      <c r="O360">
        <f t="shared" si="40"/>
        <v>619</v>
      </c>
      <c r="P360">
        <f t="shared" si="41"/>
        <v>102.02101674008811</v>
      </c>
    </row>
    <row r="361" spans="1:16" ht="15.75" thickBot="1" x14ac:dyDescent="0.3">
      <c r="A361" t="str">
        <f t="shared" si="35"/>
        <v>GOOD</v>
      </c>
      <c r="B361" s="1">
        <v>1360</v>
      </c>
      <c r="C361" s="1">
        <v>1360940</v>
      </c>
      <c r="D361" s="1">
        <v>9</v>
      </c>
      <c r="E361" s="1">
        <v>40</v>
      </c>
      <c r="F361" s="1" t="s">
        <v>157</v>
      </c>
      <c r="G361" s="1" t="s">
        <v>373</v>
      </c>
      <c r="H361" s="1">
        <v>14.5</v>
      </c>
      <c r="I361" s="1">
        <f t="shared" si="36"/>
        <v>1.4979338842975207E-3</v>
      </c>
      <c r="J361" s="2">
        <v>907.4</v>
      </c>
      <c r="K361" s="3">
        <f t="shared" si="37"/>
        <v>1.9986784140969163</v>
      </c>
      <c r="L361" s="5">
        <f t="shared" si="38"/>
        <v>1334.2901412729757</v>
      </c>
      <c r="M361" s="5">
        <f t="shared" si="39"/>
        <v>22.238169021216262</v>
      </c>
      <c r="N361" t="s">
        <v>801</v>
      </c>
      <c r="O361">
        <f t="shared" si="40"/>
        <v>907.4</v>
      </c>
      <c r="P361">
        <f t="shared" si="41"/>
        <v>149.55391048458148</v>
      </c>
    </row>
    <row r="362" spans="1:16" ht="15.75" thickBot="1" x14ac:dyDescent="0.3">
      <c r="A362" t="str">
        <f t="shared" si="35"/>
        <v>GOOD</v>
      </c>
      <c r="B362" s="1">
        <v>1361</v>
      </c>
      <c r="C362" s="1">
        <v>13611040</v>
      </c>
      <c r="D362" s="1">
        <v>10</v>
      </c>
      <c r="E362" s="1">
        <v>40</v>
      </c>
      <c r="F362" s="1" t="s">
        <v>194</v>
      </c>
      <c r="G362" s="1" t="s">
        <v>99</v>
      </c>
      <c r="H362" s="1">
        <v>14.5</v>
      </c>
      <c r="I362" s="1">
        <f t="shared" si="36"/>
        <v>1.4979338842975207E-3</v>
      </c>
      <c r="J362" s="2">
        <v>793.4</v>
      </c>
      <c r="K362" s="3">
        <f t="shared" si="37"/>
        <v>1.7475770925110132</v>
      </c>
      <c r="L362" s="5">
        <f t="shared" si="38"/>
        <v>1166.6583624487316</v>
      </c>
      <c r="M362" s="5">
        <f t="shared" si="39"/>
        <v>19.444306040812194</v>
      </c>
      <c r="N362" t="s">
        <v>802</v>
      </c>
      <c r="O362">
        <f t="shared" si="40"/>
        <v>793.4</v>
      </c>
      <c r="P362">
        <f t="shared" si="41"/>
        <v>130.7649025550661</v>
      </c>
    </row>
    <row r="363" spans="1:16" ht="15.75" thickBot="1" x14ac:dyDescent="0.3">
      <c r="A363" t="str">
        <f t="shared" si="35"/>
        <v>GOOD</v>
      </c>
      <c r="B363" s="1">
        <v>1362</v>
      </c>
      <c r="C363" s="1">
        <v>13621039</v>
      </c>
      <c r="D363" s="1">
        <v>10</v>
      </c>
      <c r="E363" s="1">
        <v>39</v>
      </c>
      <c r="F363" s="1" t="s">
        <v>396</v>
      </c>
      <c r="G363" s="1" t="s">
        <v>415</v>
      </c>
      <c r="H363" s="1">
        <v>14.5</v>
      </c>
      <c r="I363" s="1">
        <f t="shared" si="36"/>
        <v>1.4979338842975207E-3</v>
      </c>
      <c r="J363" s="2">
        <v>835.8</v>
      </c>
      <c r="K363" s="3">
        <f t="shared" si="37"/>
        <v>1.8409691629955947</v>
      </c>
      <c r="L363" s="5">
        <f t="shared" si="38"/>
        <v>1229.0056205377487</v>
      </c>
      <c r="M363" s="5">
        <f t="shared" si="39"/>
        <v>20.483427008962476</v>
      </c>
      <c r="N363" t="s">
        <v>803</v>
      </c>
      <c r="O363">
        <f t="shared" si="40"/>
        <v>835.8</v>
      </c>
      <c r="P363">
        <f t="shared" si="41"/>
        <v>137.75309497797357</v>
      </c>
    </row>
    <row r="364" spans="1:16" ht="15.75" thickBot="1" x14ac:dyDescent="0.3">
      <c r="A364" t="str">
        <f t="shared" si="35"/>
        <v>GOOD</v>
      </c>
      <c r="B364" s="1">
        <v>1363</v>
      </c>
      <c r="C364" s="1">
        <v>13631038</v>
      </c>
      <c r="D364" s="1">
        <v>10</v>
      </c>
      <c r="E364" s="1">
        <v>38</v>
      </c>
      <c r="F364" s="1" t="s">
        <v>45</v>
      </c>
      <c r="G364" s="1" t="s">
        <v>324</v>
      </c>
      <c r="H364" s="1">
        <v>14.5</v>
      </c>
      <c r="I364" s="1">
        <f t="shared" si="36"/>
        <v>1.4979338842975207E-3</v>
      </c>
      <c r="J364" s="2">
        <v>685.6</v>
      </c>
      <c r="K364" s="3">
        <f t="shared" si="37"/>
        <v>1.5101321585903085</v>
      </c>
      <c r="L364" s="5">
        <f t="shared" si="38"/>
        <v>1008.1433996658059</v>
      </c>
      <c r="M364" s="5">
        <f t="shared" si="39"/>
        <v>16.802389994430097</v>
      </c>
      <c r="N364" t="s">
        <v>804</v>
      </c>
      <c r="O364">
        <f t="shared" si="40"/>
        <v>685.6</v>
      </c>
      <c r="P364">
        <f t="shared" si="41"/>
        <v>112.99775295154186</v>
      </c>
    </row>
    <row r="365" spans="1:16" ht="15.75" thickBot="1" x14ac:dyDescent="0.3">
      <c r="A365" t="str">
        <f t="shared" si="35"/>
        <v>GOOD</v>
      </c>
      <c r="B365" s="1">
        <v>1364</v>
      </c>
      <c r="C365" s="1">
        <v>13641037</v>
      </c>
      <c r="D365" s="1">
        <v>10</v>
      </c>
      <c r="E365" s="1">
        <v>37</v>
      </c>
      <c r="F365" s="1" t="s">
        <v>399</v>
      </c>
      <c r="G365" s="1" t="s">
        <v>416</v>
      </c>
      <c r="H365" s="1">
        <v>14.5</v>
      </c>
      <c r="I365" s="1">
        <f t="shared" si="36"/>
        <v>1.4979338842975207E-3</v>
      </c>
      <c r="J365" s="2">
        <v>823.6</v>
      </c>
      <c r="K365" s="3">
        <f t="shared" si="37"/>
        <v>1.8140969162995595</v>
      </c>
      <c r="L365" s="5">
        <f t="shared" si="38"/>
        <v>1211.0660792951542</v>
      </c>
      <c r="M365" s="5">
        <f t="shared" si="39"/>
        <v>20.184434654919237</v>
      </c>
      <c r="N365" t="s">
        <v>805</v>
      </c>
      <c r="O365">
        <f t="shared" si="40"/>
        <v>823.6</v>
      </c>
      <c r="P365">
        <f t="shared" si="41"/>
        <v>135.74234149779736</v>
      </c>
    </row>
    <row r="366" spans="1:16" ht="15.75" thickBot="1" x14ac:dyDescent="0.3">
      <c r="A366" t="str">
        <f t="shared" si="35"/>
        <v>GOOD</v>
      </c>
      <c r="B366" s="1">
        <v>1365</v>
      </c>
      <c r="C366" s="1">
        <v>13651036</v>
      </c>
      <c r="D366" s="1">
        <v>10</v>
      </c>
      <c r="E366" s="1">
        <v>36</v>
      </c>
      <c r="F366" s="1" t="s">
        <v>19</v>
      </c>
      <c r="G366" s="1" t="s">
        <v>127</v>
      </c>
      <c r="H366" s="1">
        <v>14.5</v>
      </c>
      <c r="I366" s="1">
        <f t="shared" si="36"/>
        <v>1.4979338842975207E-3</v>
      </c>
      <c r="J366" s="2">
        <v>865.9</v>
      </c>
      <c r="K366" s="3">
        <f t="shared" si="37"/>
        <v>1.9072687224669602</v>
      </c>
      <c r="L366" s="5">
        <f t="shared" si="38"/>
        <v>1273.26629196415</v>
      </c>
      <c r="M366" s="5">
        <f t="shared" si="39"/>
        <v>21.221104866069165</v>
      </c>
      <c r="N366" t="s">
        <v>806</v>
      </c>
      <c r="O366">
        <f t="shared" si="40"/>
        <v>865.9</v>
      </c>
      <c r="P366">
        <f t="shared" si="41"/>
        <v>142.71405233480175</v>
      </c>
    </row>
    <row r="367" spans="1:16" ht="15.75" thickBot="1" x14ac:dyDescent="0.3">
      <c r="A367" t="str">
        <f t="shared" si="35"/>
        <v>GOOD</v>
      </c>
      <c r="B367" s="1">
        <v>1366</v>
      </c>
      <c r="C367" s="1">
        <v>13661035</v>
      </c>
      <c r="D367" s="1">
        <v>10</v>
      </c>
      <c r="E367" s="1">
        <v>35</v>
      </c>
      <c r="F367" s="1" t="s">
        <v>417</v>
      </c>
      <c r="G367" s="1" t="s">
        <v>24</v>
      </c>
      <c r="H367" s="1">
        <v>14.5</v>
      </c>
      <c r="I367" s="1">
        <f t="shared" si="36"/>
        <v>1.4979338842975207E-3</v>
      </c>
      <c r="J367" s="2">
        <v>1098</v>
      </c>
      <c r="K367" s="3">
        <f t="shared" si="37"/>
        <v>2.4185022026431717</v>
      </c>
      <c r="L367" s="5">
        <f t="shared" si="38"/>
        <v>1614.5587118335104</v>
      </c>
      <c r="M367" s="5">
        <f t="shared" si="39"/>
        <v>26.90931186389184</v>
      </c>
      <c r="N367" t="s">
        <v>807</v>
      </c>
      <c r="O367">
        <f t="shared" si="40"/>
        <v>1098</v>
      </c>
      <c r="P367">
        <f t="shared" si="41"/>
        <v>180.96781321585902</v>
      </c>
    </row>
    <row r="368" spans="1:16" ht="15.75" thickBot="1" x14ac:dyDescent="0.3">
      <c r="A368" t="str">
        <f t="shared" si="35"/>
        <v>GOOD</v>
      </c>
      <c r="B368" s="1">
        <v>1367</v>
      </c>
      <c r="C368" s="1">
        <v>13671034</v>
      </c>
      <c r="D368" s="1">
        <v>10</v>
      </c>
      <c r="E368" s="1">
        <v>34</v>
      </c>
      <c r="F368" s="1" t="s">
        <v>283</v>
      </c>
      <c r="G368" s="1" t="s">
        <v>295</v>
      </c>
      <c r="H368" s="1">
        <v>14.5</v>
      </c>
      <c r="I368" s="1">
        <f t="shared" si="36"/>
        <v>1.4979338842975207E-3</v>
      </c>
      <c r="J368" s="2">
        <v>1030.4000000000001</v>
      </c>
      <c r="K368" s="3">
        <f t="shared" si="37"/>
        <v>2.2696035242290753</v>
      </c>
      <c r="L368" s="5">
        <f t="shared" si="38"/>
        <v>1515.1560078991342</v>
      </c>
      <c r="M368" s="5">
        <f t="shared" si="39"/>
        <v>25.252600131652237</v>
      </c>
      <c r="N368" t="s">
        <v>808</v>
      </c>
      <c r="O368">
        <f t="shared" si="40"/>
        <v>1030.4000000000001</v>
      </c>
      <c r="P368">
        <f t="shared" si="41"/>
        <v>169.82626114537447</v>
      </c>
    </row>
    <row r="369" spans="1:16" ht="15.75" thickBot="1" x14ac:dyDescent="0.3">
      <c r="A369" t="str">
        <f t="shared" si="35"/>
        <v>GOOD</v>
      </c>
      <c r="B369" s="1">
        <v>1368</v>
      </c>
      <c r="C369" s="1">
        <v>13681033</v>
      </c>
      <c r="D369" s="1">
        <v>10</v>
      </c>
      <c r="E369" s="1">
        <v>33</v>
      </c>
      <c r="F369" s="1" t="s">
        <v>149</v>
      </c>
      <c r="G369" s="1" t="s">
        <v>286</v>
      </c>
      <c r="H369" s="1">
        <v>14.5</v>
      </c>
      <c r="I369" s="1">
        <f t="shared" si="36"/>
        <v>1.4979338842975207E-3</v>
      </c>
      <c r="J369" s="2">
        <v>1129.4000000000001</v>
      </c>
      <c r="K369" s="3">
        <f t="shared" si="37"/>
        <v>2.4876651982378855</v>
      </c>
      <c r="L369" s="5">
        <f t="shared" si="38"/>
        <v>1660.7309737201883</v>
      </c>
      <c r="M369" s="5">
        <f t="shared" si="39"/>
        <v>27.678849562003141</v>
      </c>
      <c r="N369" t="s">
        <v>809</v>
      </c>
      <c r="O369">
        <f t="shared" si="40"/>
        <v>1129.4000000000001</v>
      </c>
      <c r="P369">
        <f t="shared" si="41"/>
        <v>186.14303118942732</v>
      </c>
    </row>
    <row r="370" spans="1:16" ht="15.75" thickBot="1" x14ac:dyDescent="0.3">
      <c r="A370" t="str">
        <f t="shared" si="35"/>
        <v>GOOD</v>
      </c>
      <c r="B370" s="1">
        <v>1369</v>
      </c>
      <c r="C370" s="1">
        <v>13691032</v>
      </c>
      <c r="D370" s="1">
        <v>10</v>
      </c>
      <c r="E370" s="1">
        <v>32</v>
      </c>
      <c r="F370" s="1" t="s">
        <v>385</v>
      </c>
      <c r="G370" s="1" t="s">
        <v>376</v>
      </c>
      <c r="H370" s="1">
        <v>14.5</v>
      </c>
      <c r="I370" s="1">
        <f t="shared" si="36"/>
        <v>1.4979338842975207E-3</v>
      </c>
      <c r="J370" s="2">
        <v>1035.8</v>
      </c>
      <c r="K370" s="3">
        <f t="shared" si="37"/>
        <v>2.281497797356828</v>
      </c>
      <c r="L370" s="5">
        <f t="shared" si="38"/>
        <v>1523.0964605802824</v>
      </c>
      <c r="M370" s="5">
        <f t="shared" si="39"/>
        <v>25.384941009671373</v>
      </c>
      <c r="N370" t="s">
        <v>810</v>
      </c>
      <c r="O370">
        <f t="shared" si="40"/>
        <v>1035.8</v>
      </c>
      <c r="P370">
        <f t="shared" si="41"/>
        <v>170.71626678414097</v>
      </c>
    </row>
    <row r="371" spans="1:16" ht="15.75" thickBot="1" x14ac:dyDescent="0.3">
      <c r="A371" t="str">
        <f t="shared" si="35"/>
        <v>GOOD</v>
      </c>
      <c r="B371" s="1">
        <v>1370</v>
      </c>
      <c r="C371" s="1">
        <v>13701031</v>
      </c>
      <c r="D371" s="1">
        <v>10</v>
      </c>
      <c r="E371" s="1">
        <v>31</v>
      </c>
      <c r="F371" s="1" t="s">
        <v>36</v>
      </c>
      <c r="G371" s="1" t="s">
        <v>319</v>
      </c>
      <c r="H371" s="1">
        <v>14.5</v>
      </c>
      <c r="I371" s="1">
        <f t="shared" si="36"/>
        <v>1.4979338842975207E-3</v>
      </c>
      <c r="J371" s="2">
        <v>891.9</v>
      </c>
      <c r="K371" s="3">
        <f t="shared" si="37"/>
        <v>1.9645374449339206</v>
      </c>
      <c r="L371" s="5">
        <f t="shared" si="38"/>
        <v>1311.4981011696793</v>
      </c>
      <c r="M371" s="5">
        <f t="shared" si="39"/>
        <v>21.858301686161322</v>
      </c>
      <c r="N371" t="s">
        <v>811</v>
      </c>
      <c r="O371">
        <f t="shared" si="40"/>
        <v>891.9</v>
      </c>
      <c r="P371">
        <f t="shared" si="41"/>
        <v>146.99926466960352</v>
      </c>
    </row>
    <row r="372" spans="1:16" ht="15.75" thickBot="1" x14ac:dyDescent="0.3">
      <c r="A372" t="str">
        <f t="shared" si="35"/>
        <v>GOOD</v>
      </c>
      <c r="B372" s="1">
        <v>1371</v>
      </c>
      <c r="C372" s="1">
        <v>13711030</v>
      </c>
      <c r="D372" s="1">
        <v>10</v>
      </c>
      <c r="E372" s="1">
        <v>30</v>
      </c>
      <c r="F372" s="1" t="s">
        <v>325</v>
      </c>
      <c r="G372" s="1" t="s">
        <v>418</v>
      </c>
      <c r="H372" s="1">
        <v>14.5</v>
      </c>
      <c r="I372" s="1">
        <f t="shared" si="36"/>
        <v>1.4979338842975207E-3</v>
      </c>
      <c r="J372" s="2">
        <v>898.1</v>
      </c>
      <c r="K372" s="3">
        <f t="shared" si="37"/>
        <v>1.9781938325991191</v>
      </c>
      <c r="L372" s="5">
        <f t="shared" si="38"/>
        <v>1320.6149172109981</v>
      </c>
      <c r="M372" s="5">
        <f t="shared" si="39"/>
        <v>22.010248620183301</v>
      </c>
      <c r="N372" t="s">
        <v>812</v>
      </c>
      <c r="O372">
        <f t="shared" si="40"/>
        <v>898.1</v>
      </c>
      <c r="P372">
        <f t="shared" si="41"/>
        <v>148.02112299559474</v>
      </c>
    </row>
    <row r="373" spans="1:16" ht="15.75" thickBot="1" x14ac:dyDescent="0.3">
      <c r="A373" t="str">
        <f t="shared" si="35"/>
        <v>GOOD</v>
      </c>
      <c r="B373" s="1">
        <v>1372</v>
      </c>
      <c r="C373" s="1">
        <v>13721029</v>
      </c>
      <c r="D373" s="1">
        <v>10</v>
      </c>
      <c r="E373" s="1">
        <v>29</v>
      </c>
      <c r="F373" s="1" t="s">
        <v>232</v>
      </c>
      <c r="G373" s="1" t="s">
        <v>118</v>
      </c>
      <c r="H373" s="1">
        <v>14.5</v>
      </c>
      <c r="I373" s="1">
        <f t="shared" si="36"/>
        <v>1.4979338842975207E-3</v>
      </c>
      <c r="J373" s="2">
        <v>773.3</v>
      </c>
      <c r="K373" s="3">
        <f t="shared" si="37"/>
        <v>1.7033039647577091</v>
      </c>
      <c r="L373" s="5">
        <f t="shared" si="38"/>
        <v>1137.1022330244568</v>
      </c>
      <c r="M373" s="5">
        <f t="shared" si="39"/>
        <v>18.951703883740947</v>
      </c>
      <c r="N373" t="s">
        <v>813</v>
      </c>
      <c r="O373">
        <f t="shared" si="40"/>
        <v>773.3</v>
      </c>
      <c r="P373">
        <f t="shared" si="41"/>
        <v>127.45210378854625</v>
      </c>
    </row>
    <row r="374" spans="1:16" ht="15.75" thickBot="1" x14ac:dyDescent="0.3">
      <c r="A374" t="str">
        <f t="shared" si="35"/>
        <v>GOOD</v>
      </c>
      <c r="B374" s="1">
        <v>1373</v>
      </c>
      <c r="C374" s="1">
        <v>13731028</v>
      </c>
      <c r="D374" s="1">
        <v>10</v>
      </c>
      <c r="E374" s="1">
        <v>28</v>
      </c>
      <c r="F374" s="1" t="s">
        <v>419</v>
      </c>
      <c r="G374" s="1" t="s">
        <v>298</v>
      </c>
      <c r="H374" s="1">
        <v>14.5</v>
      </c>
      <c r="I374" s="1">
        <f t="shared" si="36"/>
        <v>1.4979338842975207E-3</v>
      </c>
      <c r="J374" s="2">
        <v>658.4</v>
      </c>
      <c r="K374" s="3">
        <f t="shared" si="37"/>
        <v>1.4502202643171807</v>
      </c>
      <c r="L374" s="5">
        <f t="shared" si="38"/>
        <v>968.14704542002119</v>
      </c>
      <c r="M374" s="5">
        <f t="shared" si="39"/>
        <v>16.135784090333686</v>
      </c>
      <c r="N374" t="s">
        <v>814</v>
      </c>
      <c r="O374">
        <f t="shared" si="40"/>
        <v>658.4</v>
      </c>
      <c r="P374">
        <f t="shared" si="41"/>
        <v>108.51476158590307</v>
      </c>
    </row>
    <row r="375" spans="1:16" ht="15.75" thickBot="1" x14ac:dyDescent="0.3">
      <c r="A375" t="str">
        <f t="shared" si="35"/>
        <v>GOOD</v>
      </c>
      <c r="B375" s="1">
        <v>1374</v>
      </c>
      <c r="C375" s="1">
        <v>13741027</v>
      </c>
      <c r="D375" s="1">
        <v>10</v>
      </c>
      <c r="E375" s="1">
        <v>27</v>
      </c>
      <c r="F375" s="1" t="s">
        <v>420</v>
      </c>
      <c r="G375" s="1" t="s">
        <v>302</v>
      </c>
      <c r="H375" s="1">
        <v>14.5</v>
      </c>
      <c r="I375" s="1">
        <f t="shared" si="36"/>
        <v>1.4979338842975207E-3</v>
      </c>
      <c r="J375" s="2">
        <v>1116.5</v>
      </c>
      <c r="K375" s="3">
        <f t="shared" si="37"/>
        <v>2.4592511013215859</v>
      </c>
      <c r="L375" s="5">
        <f t="shared" si="38"/>
        <v>1641.7621145374449</v>
      </c>
      <c r="M375" s="5">
        <f t="shared" si="39"/>
        <v>27.362701908957415</v>
      </c>
      <c r="N375" t="s">
        <v>815</v>
      </c>
      <c r="O375">
        <f t="shared" si="40"/>
        <v>1116.5</v>
      </c>
      <c r="P375">
        <f t="shared" si="41"/>
        <v>184.01690660792951</v>
      </c>
    </row>
    <row r="376" spans="1:16" ht="15.75" thickBot="1" x14ac:dyDescent="0.3">
      <c r="A376" t="str">
        <f t="shared" si="35"/>
        <v>GOOD</v>
      </c>
      <c r="B376" s="1">
        <v>1375</v>
      </c>
      <c r="C376" s="1">
        <v>13751026</v>
      </c>
      <c r="D376" s="1">
        <v>10</v>
      </c>
      <c r="E376" s="1">
        <v>26</v>
      </c>
      <c r="F376" s="1" t="s">
        <v>200</v>
      </c>
      <c r="G376" s="1" t="s">
        <v>153</v>
      </c>
      <c r="H376" s="1">
        <v>14.5</v>
      </c>
      <c r="I376" s="1">
        <f t="shared" si="36"/>
        <v>1.4979338842975207E-3</v>
      </c>
      <c r="J376" s="2">
        <v>789</v>
      </c>
      <c r="K376" s="3">
        <f t="shared" si="37"/>
        <v>1.7378854625550662</v>
      </c>
      <c r="L376" s="5">
        <f t="shared" si="38"/>
        <v>1160.1883639677958</v>
      </c>
      <c r="M376" s="5">
        <f t="shared" si="39"/>
        <v>19.336472732796597</v>
      </c>
      <c r="N376" t="s">
        <v>816</v>
      </c>
      <c r="O376">
        <f t="shared" si="40"/>
        <v>789</v>
      </c>
      <c r="P376">
        <f t="shared" si="41"/>
        <v>130.0397127753304</v>
      </c>
    </row>
    <row r="377" spans="1:16" ht="15.75" thickBot="1" x14ac:dyDescent="0.3">
      <c r="A377" t="str">
        <f t="shared" si="35"/>
        <v>GOOD</v>
      </c>
      <c r="B377" s="1">
        <v>1376</v>
      </c>
      <c r="C377" s="1">
        <v>13761025</v>
      </c>
      <c r="D377" s="1">
        <v>10</v>
      </c>
      <c r="E377" s="1">
        <v>25</v>
      </c>
      <c r="F377" s="1" t="s">
        <v>132</v>
      </c>
      <c r="G377" s="1" t="s">
        <v>382</v>
      </c>
      <c r="H377" s="1">
        <v>14.5</v>
      </c>
      <c r="I377" s="1">
        <f t="shared" si="36"/>
        <v>1.4979338842975207E-3</v>
      </c>
      <c r="J377" s="2">
        <v>1019.4</v>
      </c>
      <c r="K377" s="3">
        <f t="shared" si="37"/>
        <v>2.2453744493392072</v>
      </c>
      <c r="L377" s="5">
        <f t="shared" si="38"/>
        <v>1498.9810116967947</v>
      </c>
      <c r="M377" s="5">
        <f t="shared" si="39"/>
        <v>24.983016861613244</v>
      </c>
      <c r="N377" t="s">
        <v>817</v>
      </c>
      <c r="O377">
        <f t="shared" si="40"/>
        <v>1019.4</v>
      </c>
      <c r="P377">
        <f t="shared" si="41"/>
        <v>168.01328669603524</v>
      </c>
    </row>
    <row r="378" spans="1:16" ht="15.75" thickBot="1" x14ac:dyDescent="0.3">
      <c r="A378" t="str">
        <f t="shared" si="35"/>
        <v>GOOD</v>
      </c>
      <c r="B378" s="1">
        <v>1377</v>
      </c>
      <c r="C378" s="1">
        <v>13771024</v>
      </c>
      <c r="D378" s="1">
        <v>10</v>
      </c>
      <c r="E378" s="1">
        <v>24</v>
      </c>
      <c r="F378" s="1" t="s">
        <v>203</v>
      </c>
      <c r="G378" s="1" t="s">
        <v>402</v>
      </c>
      <c r="H378" s="1">
        <v>14.5</v>
      </c>
      <c r="I378" s="1">
        <f t="shared" si="36"/>
        <v>1.4979338842975207E-3</v>
      </c>
      <c r="J378" s="2">
        <v>958.8</v>
      </c>
      <c r="K378" s="3">
        <f t="shared" si="37"/>
        <v>2.1118942731277532</v>
      </c>
      <c r="L378" s="5">
        <f t="shared" si="38"/>
        <v>1409.871487163907</v>
      </c>
      <c r="M378" s="5">
        <f t="shared" si="39"/>
        <v>23.497858119398451</v>
      </c>
      <c r="N378" t="s">
        <v>818</v>
      </c>
      <c r="O378">
        <f t="shared" si="40"/>
        <v>958.8</v>
      </c>
      <c r="P378">
        <f t="shared" si="41"/>
        <v>158.02544563876651</v>
      </c>
    </row>
    <row r="379" spans="1:16" ht="15.75" thickBot="1" x14ac:dyDescent="0.3">
      <c r="A379" t="str">
        <f t="shared" si="35"/>
        <v>GOOD</v>
      </c>
      <c r="B379" s="1">
        <v>1378</v>
      </c>
      <c r="C379" s="1">
        <v>13781023</v>
      </c>
      <c r="D379" s="1">
        <v>10</v>
      </c>
      <c r="E379" s="1">
        <v>23</v>
      </c>
      <c r="F379" s="1" t="s">
        <v>377</v>
      </c>
      <c r="G379" s="1" t="s">
        <v>337</v>
      </c>
      <c r="H379" s="1">
        <v>14.5</v>
      </c>
      <c r="I379" s="1">
        <f t="shared" si="36"/>
        <v>1.4979338842975207E-3</v>
      </c>
      <c r="J379" s="2">
        <v>865.2</v>
      </c>
      <c r="K379" s="3">
        <f t="shared" si="37"/>
        <v>1.9057268722466962</v>
      </c>
      <c r="L379" s="5">
        <f t="shared" si="38"/>
        <v>1272.2369740240013</v>
      </c>
      <c r="M379" s="5">
        <f t="shared" si="39"/>
        <v>21.203949567066687</v>
      </c>
      <c r="N379" t="s">
        <v>819</v>
      </c>
      <c r="O379">
        <f t="shared" si="40"/>
        <v>865.2</v>
      </c>
      <c r="P379">
        <f t="shared" si="41"/>
        <v>142.59868123348019</v>
      </c>
    </row>
    <row r="380" spans="1:16" ht="15.75" thickBot="1" x14ac:dyDescent="0.3">
      <c r="A380" t="str">
        <f t="shared" si="35"/>
        <v>GOOD</v>
      </c>
      <c r="B380" s="1">
        <v>1379</v>
      </c>
      <c r="C380" s="1">
        <v>13791022</v>
      </c>
      <c r="D380" s="1">
        <v>10</v>
      </c>
      <c r="E380" s="1">
        <v>22</v>
      </c>
      <c r="F380" s="1" t="s">
        <v>421</v>
      </c>
      <c r="G380" s="1" t="s">
        <v>206</v>
      </c>
      <c r="H380" s="1">
        <v>14.5</v>
      </c>
      <c r="I380" s="1">
        <f t="shared" si="36"/>
        <v>1.4979338842975207E-3</v>
      </c>
      <c r="J380" s="2">
        <v>1283.7</v>
      </c>
      <c r="K380" s="3">
        <f t="shared" si="37"/>
        <v>2.8275330396475771</v>
      </c>
      <c r="L380" s="5">
        <f t="shared" si="38"/>
        <v>1887.6220568130032</v>
      </c>
      <c r="M380" s="5">
        <f t="shared" si="39"/>
        <v>31.460367613550051</v>
      </c>
      <c r="N380" t="s">
        <v>820</v>
      </c>
      <c r="O380">
        <f t="shared" si="40"/>
        <v>1283.7</v>
      </c>
      <c r="P380">
        <f t="shared" si="41"/>
        <v>211.57411823788547</v>
      </c>
    </row>
    <row r="381" spans="1:16" ht="15.75" thickBot="1" x14ac:dyDescent="0.3">
      <c r="A381" t="str">
        <f t="shared" si="35"/>
        <v>GOOD</v>
      </c>
      <c r="B381" s="1">
        <v>1380</v>
      </c>
      <c r="C381" s="1">
        <v>13801021</v>
      </c>
      <c r="D381" s="1">
        <v>10</v>
      </c>
      <c r="E381" s="1">
        <v>21</v>
      </c>
      <c r="F381" s="1" t="s">
        <v>422</v>
      </c>
      <c r="G381" s="1" t="s">
        <v>423</v>
      </c>
      <c r="H381" s="1">
        <v>14.5</v>
      </c>
      <c r="I381" s="1">
        <f t="shared" si="36"/>
        <v>1.4979338842975207E-3</v>
      </c>
      <c r="J381" s="2">
        <v>1131</v>
      </c>
      <c r="K381" s="3">
        <f t="shared" si="37"/>
        <v>2.4911894273127753</v>
      </c>
      <c r="L381" s="5">
        <f t="shared" si="38"/>
        <v>1663.0837004405284</v>
      </c>
      <c r="M381" s="5">
        <f t="shared" si="39"/>
        <v>27.718061674008808</v>
      </c>
      <c r="N381" t="s">
        <v>821</v>
      </c>
      <c r="O381">
        <f t="shared" si="40"/>
        <v>1131</v>
      </c>
      <c r="P381">
        <f t="shared" si="41"/>
        <v>186.40673656387665</v>
      </c>
    </row>
    <row r="382" spans="1:16" ht="15.75" thickBot="1" x14ac:dyDescent="0.3">
      <c r="A382" t="str">
        <f t="shared" si="35"/>
        <v>GOOD</v>
      </c>
      <c r="B382" s="1">
        <v>1381</v>
      </c>
      <c r="C382" s="1">
        <v>13811020</v>
      </c>
      <c r="D382" s="1">
        <v>10</v>
      </c>
      <c r="E382" s="1">
        <v>20</v>
      </c>
      <c r="F382" s="1" t="s">
        <v>83</v>
      </c>
      <c r="G382" s="1" t="s">
        <v>395</v>
      </c>
      <c r="H382" s="1">
        <v>14.5</v>
      </c>
      <c r="I382" s="1">
        <f t="shared" si="36"/>
        <v>1.4979338842975207E-3</v>
      </c>
      <c r="J382" s="2">
        <v>971.1</v>
      </c>
      <c r="K382" s="3">
        <f t="shared" si="37"/>
        <v>2.1389867841409691</v>
      </c>
      <c r="L382" s="5">
        <f t="shared" si="38"/>
        <v>1427.9580738265227</v>
      </c>
      <c r="M382" s="5">
        <f t="shared" si="39"/>
        <v>23.799301230442044</v>
      </c>
      <c r="N382" t="s">
        <v>822</v>
      </c>
      <c r="O382">
        <f t="shared" si="40"/>
        <v>971.1</v>
      </c>
      <c r="P382">
        <f t="shared" si="41"/>
        <v>160.05268070484578</v>
      </c>
    </row>
    <row r="383" spans="1:16" ht="15.75" thickBot="1" x14ac:dyDescent="0.3">
      <c r="A383" t="str">
        <f t="shared" si="35"/>
        <v>GOOD</v>
      </c>
      <c r="B383" s="1">
        <v>1382</v>
      </c>
      <c r="C383" s="1">
        <v>13821019</v>
      </c>
      <c r="D383" s="1">
        <v>10</v>
      </c>
      <c r="E383" s="1">
        <v>19</v>
      </c>
      <c r="F383" s="1" t="s">
        <v>241</v>
      </c>
      <c r="G383" s="1" t="s">
        <v>388</v>
      </c>
      <c r="H383" s="1">
        <v>14.5</v>
      </c>
      <c r="I383" s="1">
        <f t="shared" si="36"/>
        <v>1.4979338842975207E-3</v>
      </c>
      <c r="J383" s="2">
        <v>903.3</v>
      </c>
      <c r="K383" s="3">
        <f t="shared" si="37"/>
        <v>1.9896475770925108</v>
      </c>
      <c r="L383" s="5">
        <f t="shared" si="38"/>
        <v>1328.2612790521036</v>
      </c>
      <c r="M383" s="5">
        <f t="shared" si="39"/>
        <v>22.137687984201726</v>
      </c>
      <c r="N383" t="s">
        <v>823</v>
      </c>
      <c r="O383">
        <f t="shared" si="40"/>
        <v>903.3</v>
      </c>
      <c r="P383">
        <f t="shared" si="41"/>
        <v>148.87816546255505</v>
      </c>
    </row>
    <row r="384" spans="1:16" ht="15.75" thickBot="1" x14ac:dyDescent="0.3">
      <c r="A384" t="str">
        <f t="shared" si="35"/>
        <v>GOOD</v>
      </c>
      <c r="B384" s="1">
        <v>1383</v>
      </c>
      <c r="C384" s="1">
        <v>13831018</v>
      </c>
      <c r="D384" s="1">
        <v>10</v>
      </c>
      <c r="E384" s="1">
        <v>18</v>
      </c>
      <c r="F384" s="1" t="s">
        <v>261</v>
      </c>
      <c r="G384" s="1" t="s">
        <v>85</v>
      </c>
      <c r="H384" s="1">
        <v>14.5</v>
      </c>
      <c r="I384" s="1">
        <f t="shared" si="36"/>
        <v>1.4979338842975207E-3</v>
      </c>
      <c r="J384" s="2">
        <v>1041.5999999999999</v>
      </c>
      <c r="K384" s="3">
        <f t="shared" si="37"/>
        <v>2.2942731277533039</v>
      </c>
      <c r="L384" s="5">
        <f t="shared" si="38"/>
        <v>1531.625094941516</v>
      </c>
      <c r="M384" s="5">
        <f t="shared" si="39"/>
        <v>25.527084915691933</v>
      </c>
      <c r="N384" t="s">
        <v>824</v>
      </c>
      <c r="O384">
        <f t="shared" si="40"/>
        <v>1041.5999999999999</v>
      </c>
      <c r="P384">
        <f t="shared" si="41"/>
        <v>171.67219876651981</v>
      </c>
    </row>
    <row r="385" spans="1:16" ht="15.75" thickBot="1" x14ac:dyDescent="0.3">
      <c r="A385" t="str">
        <f t="shared" si="35"/>
        <v>GOOD</v>
      </c>
      <c r="B385" s="1">
        <v>1384</v>
      </c>
      <c r="C385" s="1">
        <v>13841017</v>
      </c>
      <c r="D385" s="1">
        <v>10</v>
      </c>
      <c r="E385" s="1">
        <v>17</v>
      </c>
      <c r="F385" s="1" t="s">
        <v>269</v>
      </c>
      <c r="G385" s="1" t="s">
        <v>366</v>
      </c>
      <c r="H385" s="1">
        <v>14.5</v>
      </c>
      <c r="I385" s="1">
        <f t="shared" si="36"/>
        <v>1.4979338842975207E-3</v>
      </c>
      <c r="J385" s="2">
        <v>900.5</v>
      </c>
      <c r="K385" s="3">
        <f t="shared" si="37"/>
        <v>1.9834801762114538</v>
      </c>
      <c r="L385" s="5">
        <f t="shared" si="38"/>
        <v>1324.1440072915084</v>
      </c>
      <c r="M385" s="5">
        <f t="shared" si="39"/>
        <v>22.069066788191808</v>
      </c>
      <c r="N385" t="s">
        <v>825</v>
      </c>
      <c r="O385">
        <f t="shared" si="40"/>
        <v>900.5</v>
      </c>
      <c r="P385">
        <f t="shared" si="41"/>
        <v>148.41668105726873</v>
      </c>
    </row>
    <row r="386" spans="1:16" ht="15.75" thickBot="1" x14ac:dyDescent="0.3">
      <c r="A386" t="str">
        <f t="shared" si="35"/>
        <v>GOOD</v>
      </c>
      <c r="B386" s="1">
        <v>1385</v>
      </c>
      <c r="C386" s="1">
        <v>13851016</v>
      </c>
      <c r="D386" s="1">
        <v>10</v>
      </c>
      <c r="E386" s="1">
        <v>16</v>
      </c>
      <c r="F386" s="1" t="s">
        <v>365</v>
      </c>
      <c r="G386" s="1" t="s">
        <v>274</v>
      </c>
      <c r="H386" s="1">
        <v>14.5</v>
      </c>
      <c r="I386" s="1">
        <f t="shared" si="36"/>
        <v>1.4979338842975207E-3</v>
      </c>
      <c r="J386" s="2">
        <v>1192.5999999999999</v>
      </c>
      <c r="K386" s="3">
        <f t="shared" si="37"/>
        <v>2.6268722466960353</v>
      </c>
      <c r="L386" s="5">
        <f t="shared" si="38"/>
        <v>1753.6636791736289</v>
      </c>
      <c r="M386" s="5">
        <f t="shared" si="39"/>
        <v>29.227727986227148</v>
      </c>
      <c r="N386" t="s">
        <v>826</v>
      </c>
      <c r="O386">
        <f t="shared" si="40"/>
        <v>1192.5999999999999</v>
      </c>
      <c r="P386">
        <f t="shared" si="41"/>
        <v>196.5593934801762</v>
      </c>
    </row>
    <row r="387" spans="1:16" ht="15.75" thickBot="1" x14ac:dyDescent="0.3">
      <c r="A387" t="str">
        <f t="shared" ref="A387:A401" si="42">IF((B387+3000)=VALUE(RIGHT(N387,4)),"GOOD","ERROR")</f>
        <v>GOOD</v>
      </c>
      <c r="B387" s="1">
        <v>1386</v>
      </c>
      <c r="C387" s="1">
        <v>13861015</v>
      </c>
      <c r="D387" s="1">
        <v>10</v>
      </c>
      <c r="E387" s="1">
        <v>15</v>
      </c>
      <c r="F387" s="1" t="s">
        <v>424</v>
      </c>
      <c r="G387" s="1" t="s">
        <v>341</v>
      </c>
      <c r="H387" s="1">
        <v>14.5</v>
      </c>
      <c r="I387" s="1">
        <f t="shared" ref="I387:I401" si="43">H387*4.5/43560</f>
        <v>1.4979338842975207E-3</v>
      </c>
      <c r="J387" s="2">
        <v>1345.9</v>
      </c>
      <c r="K387" s="3">
        <f t="shared" ref="K387:K401" si="44">J387/454</f>
        <v>2.9645374449339208</v>
      </c>
      <c r="L387" s="5">
        <f t="shared" ref="L387:L401" si="45">K387/I387</f>
        <v>1979.0843080662312</v>
      </c>
      <c r="M387" s="5">
        <f t="shared" ref="M387:M401" si="46">L387/60</f>
        <v>32.984738467770519</v>
      </c>
      <c r="N387" t="s">
        <v>827</v>
      </c>
      <c r="O387">
        <f t="shared" ref="O387:O401" si="47">J387</f>
        <v>1345.9</v>
      </c>
      <c r="P387">
        <f t="shared" ref="P387:P401" si="48">L387*0.112085</f>
        <v>221.82566466960353</v>
      </c>
    </row>
    <row r="388" spans="1:16" ht="15.75" thickBot="1" x14ac:dyDescent="0.3">
      <c r="A388" t="str">
        <f t="shared" si="42"/>
        <v>GOOD</v>
      </c>
      <c r="B388" s="1">
        <v>1387</v>
      </c>
      <c r="C388" s="1">
        <v>13871014</v>
      </c>
      <c r="D388" s="1">
        <v>10</v>
      </c>
      <c r="E388" s="1">
        <v>14</v>
      </c>
      <c r="F388" s="1" t="s">
        <v>425</v>
      </c>
      <c r="G388" s="1" t="s">
        <v>406</v>
      </c>
      <c r="H388" s="1">
        <v>14.5</v>
      </c>
      <c r="I388" s="1">
        <f t="shared" si="43"/>
        <v>1.4979338842975207E-3</v>
      </c>
      <c r="J388" s="2">
        <v>1067</v>
      </c>
      <c r="K388" s="3">
        <f t="shared" si="44"/>
        <v>2.3502202643171808</v>
      </c>
      <c r="L388" s="5">
        <f t="shared" si="45"/>
        <v>1568.9746316269179</v>
      </c>
      <c r="M388" s="5">
        <f t="shared" si="46"/>
        <v>26.149577193781965</v>
      </c>
      <c r="N388" t="s">
        <v>828</v>
      </c>
      <c r="O388">
        <f t="shared" si="47"/>
        <v>1067</v>
      </c>
      <c r="P388">
        <f t="shared" si="48"/>
        <v>175.85852158590311</v>
      </c>
    </row>
    <row r="389" spans="1:16" ht="15.75" thickBot="1" x14ac:dyDescent="0.3">
      <c r="A389" t="str">
        <f t="shared" si="42"/>
        <v>GOOD</v>
      </c>
      <c r="B389" s="1">
        <v>1388</v>
      </c>
      <c r="C389" s="1">
        <v>13881013</v>
      </c>
      <c r="D389" s="1">
        <v>10</v>
      </c>
      <c r="E389" s="1">
        <v>13</v>
      </c>
      <c r="F389" s="1" t="s">
        <v>375</v>
      </c>
      <c r="G389" s="1" t="s">
        <v>426</v>
      </c>
      <c r="H389" s="1">
        <v>14.5</v>
      </c>
      <c r="I389" s="1">
        <f t="shared" si="43"/>
        <v>1.4979338842975207E-3</v>
      </c>
      <c r="J389" s="2">
        <v>715.9</v>
      </c>
      <c r="K389" s="3">
        <f t="shared" si="44"/>
        <v>1.5768722466960352</v>
      </c>
      <c r="L389" s="5">
        <f t="shared" si="45"/>
        <v>1052.6981619322496</v>
      </c>
      <c r="M389" s="5">
        <f t="shared" si="46"/>
        <v>17.544969365537494</v>
      </c>
      <c r="N389" t="s">
        <v>829</v>
      </c>
      <c r="O389">
        <f t="shared" si="47"/>
        <v>715.9</v>
      </c>
      <c r="P389">
        <f t="shared" si="48"/>
        <v>117.9916734801762</v>
      </c>
    </row>
    <row r="390" spans="1:16" ht="15.75" thickBot="1" x14ac:dyDescent="0.3">
      <c r="A390" t="str">
        <f t="shared" si="42"/>
        <v>GOOD</v>
      </c>
      <c r="B390" s="1">
        <v>1389</v>
      </c>
      <c r="C390" s="1">
        <v>13891012</v>
      </c>
      <c r="D390" s="1">
        <v>10</v>
      </c>
      <c r="E390" s="1">
        <v>12</v>
      </c>
      <c r="F390" s="1" t="s">
        <v>399</v>
      </c>
      <c r="G390" s="1" t="s">
        <v>427</v>
      </c>
      <c r="H390" s="1">
        <v>14.5</v>
      </c>
      <c r="I390" s="1">
        <f t="shared" si="43"/>
        <v>1.4979338842975207E-3</v>
      </c>
      <c r="J390" s="2">
        <v>946.1</v>
      </c>
      <c r="K390" s="3">
        <f t="shared" si="44"/>
        <v>2.083920704845815</v>
      </c>
      <c r="L390" s="5">
        <f t="shared" si="45"/>
        <v>1391.1967188212061</v>
      </c>
      <c r="M390" s="5">
        <f t="shared" si="46"/>
        <v>23.186611980353437</v>
      </c>
      <c r="N390" t="s">
        <v>830</v>
      </c>
      <c r="O390">
        <f t="shared" si="47"/>
        <v>946.1</v>
      </c>
      <c r="P390">
        <f t="shared" si="48"/>
        <v>155.9322842290749</v>
      </c>
    </row>
    <row r="391" spans="1:16" ht="15.75" thickBot="1" x14ac:dyDescent="0.3">
      <c r="A391" t="str">
        <f t="shared" si="42"/>
        <v>GOOD</v>
      </c>
      <c r="B391" s="1">
        <v>1390</v>
      </c>
      <c r="C391" s="1">
        <v>13901011</v>
      </c>
      <c r="D391" s="1">
        <v>10</v>
      </c>
      <c r="E391" s="1">
        <v>11</v>
      </c>
      <c r="F391" s="1" t="s">
        <v>428</v>
      </c>
      <c r="G391" s="1" t="s">
        <v>429</v>
      </c>
      <c r="H391" s="1">
        <v>14.5</v>
      </c>
      <c r="I391" s="1">
        <f t="shared" si="43"/>
        <v>1.4979338842975207E-3</v>
      </c>
      <c r="J391" s="2">
        <v>1256.0999999999999</v>
      </c>
      <c r="K391" s="3">
        <f t="shared" si="44"/>
        <v>2.7667400881057267</v>
      </c>
      <c r="L391" s="5">
        <f t="shared" si="45"/>
        <v>1847.0375208871333</v>
      </c>
      <c r="M391" s="5">
        <f t="shared" si="46"/>
        <v>30.783958681452223</v>
      </c>
      <c r="N391" t="s">
        <v>831</v>
      </c>
      <c r="O391">
        <f t="shared" si="47"/>
        <v>1256.0999999999999</v>
      </c>
      <c r="P391">
        <f t="shared" si="48"/>
        <v>207.02520052863434</v>
      </c>
    </row>
    <row r="392" spans="1:16" ht="15.75" thickBot="1" x14ac:dyDescent="0.3">
      <c r="A392" t="str">
        <f t="shared" si="42"/>
        <v>GOOD</v>
      </c>
      <c r="B392" s="1">
        <v>1391</v>
      </c>
      <c r="C392" s="1">
        <v>13911010</v>
      </c>
      <c r="D392" s="1">
        <v>10</v>
      </c>
      <c r="E392" s="1">
        <v>10</v>
      </c>
      <c r="F392" s="1" t="s">
        <v>294</v>
      </c>
      <c r="G392" s="1" t="s">
        <v>165</v>
      </c>
      <c r="H392" s="1">
        <v>14.5</v>
      </c>
      <c r="I392" s="1">
        <f t="shared" si="43"/>
        <v>1.4979338842975207E-3</v>
      </c>
      <c r="J392" s="2">
        <v>1029.0999999999999</v>
      </c>
      <c r="K392" s="3">
        <f t="shared" si="44"/>
        <v>2.2667400881057267</v>
      </c>
      <c r="L392" s="5">
        <f t="shared" si="45"/>
        <v>1513.2444174388575</v>
      </c>
      <c r="M392" s="5">
        <f t="shared" si="46"/>
        <v>25.220740290647623</v>
      </c>
      <c r="N392" t="s">
        <v>832</v>
      </c>
      <c r="O392">
        <f t="shared" si="47"/>
        <v>1029.0999999999999</v>
      </c>
      <c r="P392">
        <f t="shared" si="48"/>
        <v>169.61200052863435</v>
      </c>
    </row>
    <row r="393" spans="1:16" ht="15.75" thickBot="1" x14ac:dyDescent="0.3">
      <c r="A393" t="str">
        <f t="shared" si="42"/>
        <v>GOOD</v>
      </c>
      <c r="B393" s="1">
        <v>1392</v>
      </c>
      <c r="C393" s="1">
        <v>1392109</v>
      </c>
      <c r="D393" s="1">
        <v>10</v>
      </c>
      <c r="E393" s="1">
        <v>9</v>
      </c>
      <c r="F393" s="1" t="s">
        <v>128</v>
      </c>
      <c r="G393" s="1" t="s">
        <v>202</v>
      </c>
      <c r="H393" s="1">
        <v>14.5</v>
      </c>
      <c r="I393" s="1">
        <f t="shared" si="43"/>
        <v>1.4979338842975207E-3</v>
      </c>
      <c r="J393" s="2">
        <v>1215</v>
      </c>
      <c r="K393" s="3">
        <f t="shared" si="44"/>
        <v>2.6762114537444934</v>
      </c>
      <c r="L393" s="5">
        <f t="shared" si="45"/>
        <v>1786.6018532583928</v>
      </c>
      <c r="M393" s="5">
        <f t="shared" si="46"/>
        <v>29.776697554306548</v>
      </c>
      <c r="N393" t="s">
        <v>833</v>
      </c>
      <c r="O393">
        <f t="shared" si="47"/>
        <v>1215</v>
      </c>
      <c r="P393">
        <f t="shared" si="48"/>
        <v>200.25126872246696</v>
      </c>
    </row>
    <row r="394" spans="1:16" ht="15.75" thickBot="1" x14ac:dyDescent="0.3">
      <c r="A394" t="str">
        <f t="shared" si="42"/>
        <v>GOOD</v>
      </c>
      <c r="B394" s="1">
        <v>1393</v>
      </c>
      <c r="C394" s="1">
        <v>1393108</v>
      </c>
      <c r="D394" s="1">
        <v>10</v>
      </c>
      <c r="E394" s="1">
        <v>8</v>
      </c>
      <c r="F394" s="1" t="s">
        <v>430</v>
      </c>
      <c r="G394" s="1" t="s">
        <v>431</v>
      </c>
      <c r="H394" s="1">
        <v>14.5</v>
      </c>
      <c r="I394" s="1">
        <f t="shared" si="43"/>
        <v>1.4979338842975207E-3</v>
      </c>
      <c r="J394" s="2">
        <v>792.4</v>
      </c>
      <c r="K394" s="3">
        <f t="shared" si="44"/>
        <v>1.7453744493392069</v>
      </c>
      <c r="L394" s="5">
        <f t="shared" si="45"/>
        <v>1165.1879082485189</v>
      </c>
      <c r="M394" s="5">
        <f t="shared" si="46"/>
        <v>19.419798470808647</v>
      </c>
      <c r="N394" t="s">
        <v>834</v>
      </c>
      <c r="O394">
        <f t="shared" si="47"/>
        <v>792.4</v>
      </c>
      <c r="P394">
        <f t="shared" si="48"/>
        <v>130.60008669603525</v>
      </c>
    </row>
    <row r="395" spans="1:16" ht="15.75" thickBot="1" x14ac:dyDescent="0.3">
      <c r="A395" t="str">
        <f t="shared" si="42"/>
        <v>GOOD</v>
      </c>
      <c r="B395" s="1">
        <v>1394</v>
      </c>
      <c r="C395" s="1">
        <v>1394107</v>
      </c>
      <c r="D395" s="1">
        <v>10</v>
      </c>
      <c r="E395" s="1">
        <v>7</v>
      </c>
      <c r="F395" s="1" t="s">
        <v>432</v>
      </c>
      <c r="G395" s="1" t="s">
        <v>433</v>
      </c>
      <c r="H395" s="1">
        <v>14.5</v>
      </c>
      <c r="I395" s="1">
        <f t="shared" si="43"/>
        <v>1.4979338842975207E-3</v>
      </c>
      <c r="J395" s="2">
        <v>959.6</v>
      </c>
      <c r="K395" s="3">
        <f t="shared" si="44"/>
        <v>2.1136563876651984</v>
      </c>
      <c r="L395" s="5">
        <f t="shared" si="45"/>
        <v>1411.0478505240771</v>
      </c>
      <c r="M395" s="5">
        <f t="shared" si="46"/>
        <v>23.517464175401287</v>
      </c>
      <c r="N395" t="s">
        <v>835</v>
      </c>
      <c r="O395">
        <f t="shared" si="47"/>
        <v>959.6</v>
      </c>
      <c r="P395">
        <f t="shared" si="48"/>
        <v>158.15729832599121</v>
      </c>
    </row>
    <row r="396" spans="1:16" ht="15.75" thickBot="1" x14ac:dyDescent="0.3">
      <c r="A396" t="str">
        <f t="shared" si="42"/>
        <v>GOOD</v>
      </c>
      <c r="B396" s="1">
        <v>1395</v>
      </c>
      <c r="C396" s="1">
        <v>1395106</v>
      </c>
      <c r="D396" s="1">
        <v>10</v>
      </c>
      <c r="E396" s="1">
        <v>6</v>
      </c>
      <c r="F396" s="1" t="s">
        <v>434</v>
      </c>
      <c r="G396" s="1" t="s">
        <v>302</v>
      </c>
      <c r="H396" s="1">
        <v>14.5</v>
      </c>
      <c r="I396" s="1">
        <f t="shared" si="43"/>
        <v>1.4979338842975207E-3</v>
      </c>
      <c r="J396" s="2">
        <v>1154</v>
      </c>
      <c r="K396" s="3">
        <f t="shared" si="44"/>
        <v>2.5418502202643172</v>
      </c>
      <c r="L396" s="5">
        <f t="shared" si="45"/>
        <v>1696.9041470454199</v>
      </c>
      <c r="M396" s="5">
        <f t="shared" si="46"/>
        <v>28.281735784090333</v>
      </c>
      <c r="N396" t="s">
        <v>836</v>
      </c>
      <c r="O396">
        <f t="shared" si="47"/>
        <v>1154</v>
      </c>
      <c r="P396">
        <f t="shared" si="48"/>
        <v>190.19750132158589</v>
      </c>
    </row>
    <row r="397" spans="1:16" ht="15.75" thickBot="1" x14ac:dyDescent="0.3">
      <c r="A397" t="str">
        <f t="shared" si="42"/>
        <v>GOOD</v>
      </c>
      <c r="B397" s="1">
        <v>1396</v>
      </c>
      <c r="C397" s="1">
        <v>1396105</v>
      </c>
      <c r="D397" s="1">
        <v>10</v>
      </c>
      <c r="E397" s="1">
        <v>5</v>
      </c>
      <c r="F397" s="1" t="s">
        <v>210</v>
      </c>
      <c r="G397" s="1" t="s">
        <v>386</v>
      </c>
      <c r="H397" s="1">
        <v>14.5</v>
      </c>
      <c r="I397" s="1">
        <f t="shared" si="43"/>
        <v>1.4979338842975207E-3</v>
      </c>
      <c r="J397" s="2">
        <v>978.6</v>
      </c>
      <c r="K397" s="3">
        <f t="shared" si="44"/>
        <v>2.1555066079295155</v>
      </c>
      <c r="L397" s="5">
        <f t="shared" si="45"/>
        <v>1438.986480328118</v>
      </c>
      <c r="M397" s="5">
        <f t="shared" si="46"/>
        <v>23.983108005468633</v>
      </c>
      <c r="N397" t="s">
        <v>837</v>
      </c>
      <c r="O397">
        <f t="shared" si="47"/>
        <v>978.6</v>
      </c>
      <c r="P397">
        <f t="shared" si="48"/>
        <v>161.28879964757712</v>
      </c>
    </row>
    <row r="398" spans="1:16" ht="15.75" thickBot="1" x14ac:dyDescent="0.3">
      <c r="A398" t="str">
        <f t="shared" si="42"/>
        <v>GOOD</v>
      </c>
      <c r="B398" s="1">
        <v>1397</v>
      </c>
      <c r="C398" s="1">
        <v>1397104</v>
      </c>
      <c r="D398" s="1">
        <v>10</v>
      </c>
      <c r="E398" s="1">
        <v>4</v>
      </c>
      <c r="F398" s="1" t="s">
        <v>189</v>
      </c>
      <c r="G398" s="1" t="s">
        <v>259</v>
      </c>
      <c r="H398" s="1">
        <v>14.5</v>
      </c>
      <c r="I398" s="1">
        <f t="shared" si="43"/>
        <v>1.4979338842975207E-3</v>
      </c>
      <c r="J398" s="2">
        <v>1135</v>
      </c>
      <c r="K398" s="3">
        <f t="shared" si="44"/>
        <v>2.5</v>
      </c>
      <c r="L398" s="5">
        <f t="shared" si="45"/>
        <v>1668.9655172413793</v>
      </c>
      <c r="M398" s="5">
        <f t="shared" si="46"/>
        <v>27.816091954022987</v>
      </c>
      <c r="N398" t="s">
        <v>838</v>
      </c>
      <c r="O398">
        <f t="shared" si="47"/>
        <v>1135</v>
      </c>
      <c r="P398">
        <f t="shared" si="48"/>
        <v>187.066</v>
      </c>
    </row>
    <row r="399" spans="1:16" ht="15.75" thickBot="1" x14ac:dyDescent="0.3">
      <c r="A399" t="str">
        <f t="shared" si="42"/>
        <v>GOOD</v>
      </c>
      <c r="B399" s="1">
        <v>1398</v>
      </c>
      <c r="C399" s="1">
        <v>1398103</v>
      </c>
      <c r="D399" s="1">
        <v>10</v>
      </c>
      <c r="E399" s="1">
        <v>3</v>
      </c>
      <c r="F399" s="1" t="s">
        <v>396</v>
      </c>
      <c r="G399" s="1" t="s">
        <v>435</v>
      </c>
      <c r="H399" s="1">
        <v>14.5</v>
      </c>
      <c r="I399" s="1">
        <f t="shared" si="43"/>
        <v>1.4979338842975207E-3</v>
      </c>
      <c r="J399" s="2">
        <v>530</v>
      </c>
      <c r="K399" s="3">
        <f t="shared" si="44"/>
        <v>1.1674008810572687</v>
      </c>
      <c r="L399" s="5">
        <f t="shared" si="45"/>
        <v>779.34072611271449</v>
      </c>
      <c r="M399" s="5">
        <f t="shared" si="46"/>
        <v>12.989012101878576</v>
      </c>
      <c r="N399" t="s">
        <v>839</v>
      </c>
      <c r="O399">
        <f t="shared" si="47"/>
        <v>530</v>
      </c>
      <c r="P399">
        <f t="shared" si="48"/>
        <v>87.352405286343611</v>
      </c>
    </row>
    <row r="400" spans="1:16" ht="15.75" thickBot="1" x14ac:dyDescent="0.3">
      <c r="A400" t="str">
        <f t="shared" si="42"/>
        <v>GOOD</v>
      </c>
      <c r="B400" s="1">
        <v>1399</v>
      </c>
      <c r="C400" s="1">
        <v>1399102</v>
      </c>
      <c r="D400" s="1">
        <v>10</v>
      </c>
      <c r="E400" s="1">
        <v>2</v>
      </c>
      <c r="F400" s="1" t="s">
        <v>159</v>
      </c>
      <c r="G400" s="1" t="s">
        <v>436</v>
      </c>
      <c r="H400" s="1">
        <v>14.5</v>
      </c>
      <c r="I400" s="1">
        <f t="shared" si="43"/>
        <v>1.4979338842975207E-3</v>
      </c>
      <c r="J400" s="2">
        <v>432.9</v>
      </c>
      <c r="K400" s="3">
        <f t="shared" si="44"/>
        <v>0.95352422907488987</v>
      </c>
      <c r="L400" s="5">
        <f t="shared" si="45"/>
        <v>636.55962327206441</v>
      </c>
      <c r="M400" s="5">
        <f t="shared" si="46"/>
        <v>10.609327054534408</v>
      </c>
      <c r="N400" t="s">
        <v>840</v>
      </c>
      <c r="O400">
        <f t="shared" si="47"/>
        <v>432.9</v>
      </c>
      <c r="P400">
        <f t="shared" si="48"/>
        <v>71.348785374449349</v>
      </c>
    </row>
    <row r="401" spans="1:16" ht="15.75" thickBot="1" x14ac:dyDescent="0.3">
      <c r="A401" t="str">
        <f t="shared" si="42"/>
        <v>GOOD</v>
      </c>
      <c r="B401" s="1">
        <v>1400</v>
      </c>
      <c r="C401" s="1">
        <v>1400101</v>
      </c>
      <c r="D401" s="1">
        <v>10</v>
      </c>
      <c r="E401" s="1">
        <v>1</v>
      </c>
      <c r="F401" s="1" t="s">
        <v>437</v>
      </c>
      <c r="G401" s="1" t="s">
        <v>223</v>
      </c>
      <c r="H401" s="1">
        <v>14.5</v>
      </c>
      <c r="I401" s="1">
        <f t="shared" si="43"/>
        <v>1.4979338842975207E-3</v>
      </c>
      <c r="J401" s="2">
        <v>708.8</v>
      </c>
      <c r="K401" s="3">
        <f t="shared" si="44"/>
        <v>1.5612334801762113</v>
      </c>
      <c r="L401" s="5">
        <f t="shared" si="45"/>
        <v>1042.2579371107397</v>
      </c>
      <c r="M401" s="5">
        <f t="shared" si="46"/>
        <v>17.370965618512329</v>
      </c>
      <c r="N401" t="s">
        <v>841</v>
      </c>
      <c r="O401">
        <f t="shared" si="47"/>
        <v>708.8</v>
      </c>
      <c r="P401">
        <f t="shared" si="48"/>
        <v>116.82148088105727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T3_upload</vt:lpstr>
      <vt:lpstr>raw</vt:lpstr>
    </vt:vector>
  </TitlesOfParts>
  <Company>North Dakota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Raymon, Garrett</dc:creator>
  <cp:lastModifiedBy>Peter T. Hyde</cp:lastModifiedBy>
  <dcterms:created xsi:type="dcterms:W3CDTF">2025-10-16T18:12:31Z</dcterms:created>
  <dcterms:modified xsi:type="dcterms:W3CDTF">2025-10-27T18:17:21Z</dcterms:modified>
</cp:coreProperties>
</file>