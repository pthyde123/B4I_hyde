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PM3D data\"/>
    </mc:Choice>
  </mc:AlternateContent>
  <xr:revisionPtr revIDLastSave="0" documentId="13_ncr:1_{24F029F2-29C3-4323-AFA2-B5A0EFC33BFF}" xr6:coauthVersionLast="47" xr6:coauthVersionMax="47" xr10:uidLastSave="{00000000-0000-0000-0000-000000000000}"/>
  <bookViews>
    <workbookView xWindow="-120" yWindow="-120" windowWidth="38640" windowHeight="21120" xr2:uid="{C772D3FE-78ED-4A4F-B27F-ACE348F4B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8" i="1" l="1"/>
  <c r="P55" i="1"/>
</calcChain>
</file>

<file path=xl/sharedStrings.xml><?xml version="1.0" encoding="utf-8"?>
<sst xmlns="http://schemas.openxmlformats.org/spreadsheetml/2006/main" count="78" uniqueCount="78">
  <si>
    <t>observationUnitName</t>
  </si>
  <si>
    <t>Plant establishment - plants/ft2|CO_350:0005124</t>
  </si>
  <si>
    <t>Pea Plant Establishment - plants/ft2|CO_xxx:0003011</t>
  </si>
  <si>
    <t>Pea Plant Height - cm|timepoint 1|COMP:0000122</t>
  </si>
  <si>
    <t>Plant height - cm|timepoint 1|COMP:0000114</t>
  </si>
  <si>
    <t>Above ground dry biomass - g|timepoint 1|COMP:0000110</t>
  </si>
  <si>
    <t>Pea Aboveground Dry Biomass - g|timepoint 1|COMP:0000118</t>
  </si>
  <si>
    <t>Weed above ground dry biomass - g|timepoint 1|COMP:0000126</t>
  </si>
  <si>
    <t>Above ground dry biomass - g|timepoint 2|COMP:0000111</t>
  </si>
  <si>
    <t>Pea Aboveground Dry Biomass - g|timepoint 2|COMP:0000119</t>
  </si>
  <si>
    <t>Weed above ground dry biomass - g|timepoint 2|COMP:0000127</t>
  </si>
  <si>
    <t>Above ground dry biomass - g|timepoint 3|COMP:0000112</t>
  </si>
  <si>
    <t>Pea Aboveground Dry Biomass - g|timepoint 3|COMP:0000120</t>
  </si>
  <si>
    <t>Weed above ground dry biomass - g|timepoint 3|COMP:0000128</t>
  </si>
  <si>
    <t>B4I_2025_PM3D_IA_20_subplot_1</t>
  </si>
  <si>
    <t>B4I_2025_PM3D_IA_19_subplot_1</t>
  </si>
  <si>
    <t>B4I_2025_PM3D_IA_18_subplot_2</t>
  </si>
  <si>
    <t>B4I_2025_PM3D_IA_17_subplot_2</t>
  </si>
  <si>
    <t>B4I_2025_PM3D_IA_16_subplot_1</t>
  </si>
  <si>
    <t>B4I_2025_PM3D_IA_15_subplot_1</t>
  </si>
  <si>
    <t>B4I_2025_PM3D_IA_14_subplot_1</t>
  </si>
  <si>
    <t>B4I_2025_PM3D_IA_13_subplot_1</t>
  </si>
  <si>
    <t>B4I_2025_PM3D_IA_12_subplot_3</t>
  </si>
  <si>
    <t>B4I_2025_PM3D_IA_11_subplot_2</t>
  </si>
  <si>
    <t>B4I_2025_PM3D_IA_10_subplot_1</t>
  </si>
  <si>
    <t>B4I_2025_PM3D_IA_09_subplot_2</t>
  </si>
  <si>
    <t>B4I_2025_PM3D_IA_08_subplot_2</t>
  </si>
  <si>
    <t>B4I_2025_PM3D_IA_07_subplot_3</t>
  </si>
  <si>
    <t>B4I_2025_PM3D_IA_06_subplot_1</t>
  </si>
  <si>
    <t>B4I_2025_PM3D_IA_05_subplot_3</t>
  </si>
  <si>
    <t>B4I_2025_PM3D_IA_04_subplot_2</t>
  </si>
  <si>
    <t>B4I_2025_PM3D_IA_03_subplot_1</t>
  </si>
  <si>
    <t>B4I_2025_PM3D_IA_02_subplot_1</t>
  </si>
  <si>
    <t>B4I_2025_PM3D_IA_01_subplot_2</t>
  </si>
  <si>
    <t>B4I_2025_PM3D_IA_20_subplot_3</t>
  </si>
  <si>
    <t>B4I_2025_PM3D_IA_19_subplot_3</t>
  </si>
  <si>
    <t>B4I_2025_PM3D_IA_18_subplot_1</t>
  </si>
  <si>
    <t>B4I_2025_PM3D_IA_17_subplot_3</t>
  </si>
  <si>
    <t>B4I_2025_PM3D_IA_16_subplot_3</t>
  </si>
  <si>
    <t>B4I_2025_PM3D_IA_15_subplot_3</t>
  </si>
  <si>
    <t>B4I_2025_PM3D_IA_14_subplot_3</t>
  </si>
  <si>
    <t>B4I_2025_PM3D_IA_13_subplot_2</t>
  </si>
  <si>
    <t>B4I_2025_PM3D_IA_12_subplot_1</t>
  </si>
  <si>
    <t>B4I_2025_PM3D_IA_11_subplot_3</t>
  </si>
  <si>
    <t>B4I_2025_PM3D_IA_10_subplot_2</t>
  </si>
  <si>
    <t>B4I_2025_PM3D_IA_09_subplot_1</t>
  </si>
  <si>
    <t>B4I_2025_PM3D_IA_08_subplot_3</t>
  </si>
  <si>
    <t>B4I_2025_PM3D_IA_07_subplot_1</t>
  </si>
  <si>
    <t>B4I_2025_PM3D_IA_06_subplot_3</t>
  </si>
  <si>
    <t>B4I_2025_PM3D_IA_05_subplot_1</t>
  </si>
  <si>
    <t>B4I_2025_PM3D_IA_04_subplot_1</t>
  </si>
  <si>
    <t>B4I_2025_PM3D_IA_03_subplot_3</t>
  </si>
  <si>
    <t>B4I_2025_PM3D_IA_02_subplot_3</t>
  </si>
  <si>
    <t>B4I_2025_PM3D_IA_01_subplot_3</t>
  </si>
  <si>
    <t>B4I_2025_PM3D_IA_20_subplot_2</t>
  </si>
  <si>
    <t>B4I_2025_PM3D_IA_19_subplot_2</t>
  </si>
  <si>
    <t>B4I_2025_PM3D_IA_18_subplot_3</t>
  </si>
  <si>
    <t>B4I_2025_PM3D_IA_17_subplot_1</t>
  </si>
  <si>
    <t>B4I_2025_PM3D_IA_16_subplot_2</t>
  </si>
  <si>
    <t>B4I_2025_PM3D_IA_15_subplot_2</t>
  </si>
  <si>
    <t>B4I_2025_PM3D_IA_14_subplot_2</t>
  </si>
  <si>
    <t>B4I_2025_PM3D_IA_13_subplot_3</t>
  </si>
  <si>
    <t>B4I_2025_PM3D_IA_12_subplot_2</t>
  </si>
  <si>
    <t>B4I_2025_PM3D_IA_11_subplot_1</t>
  </si>
  <si>
    <t>B4I_2025_PM3D_IA_10_subplot_3</t>
  </si>
  <si>
    <t>B4I_2025_PM3D_IA_09_subplot_3</t>
  </si>
  <si>
    <t>B4I_2025_PM3D_IA_08_subplot_1</t>
  </si>
  <si>
    <t>B4I_2025_PM3D_IA_07_subplot_2</t>
  </si>
  <si>
    <t>B4I_2025_PM3D_IA_06_subplot_2</t>
  </si>
  <si>
    <t>B4I_2025_PM3D_IA_05_subplot_2</t>
  </si>
  <si>
    <t>B4I_2025_PM3D_IA_04_subplot_3</t>
  </si>
  <si>
    <t>B4I_2025_PM3D_IA_03_subplot_2</t>
  </si>
  <si>
    <t>B4I_2025_PM3D_IA_02_subplot_2</t>
  </si>
  <si>
    <t>B4I_2025_PM3D_IA_01_subplot_1</t>
  </si>
  <si>
    <t>Pea Plant Height - cm|timepoint 2|COMP:0000123</t>
  </si>
  <si>
    <t>Plant height - cm|timepoint 2|COMP:0000115</t>
  </si>
  <si>
    <t>Pea Plant Height - cm|timepoint 3|COMP:0000124</t>
  </si>
  <si>
    <t>Plant height - cm|timepoint 3|COMP:0000116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</si>
</sst>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FB3C-F344-4E8C-BCA7-24740BCBF129}">
  <dimension ref="A1:R61"/>
  <sheetViews>
    <sheetView tabSelected="1" workbookViewId="0">
      <selection sqref="A1:XFD1048576"/>
    </sheetView>
  </sheetViews>
  <sheetFormatPr defaultColWidth="33.140625" defaultRowHeight="15" x14ac:dyDescent="0.25"/>
  <cols>
    <col min="1" max="1" width="27" bestFit="1" customWidth="1"/>
    <col min="2" max="2" width="44.7109375" bestFit="1" customWidth="1"/>
    <col min="3" max="3" width="48.140625" bestFit="1" customWidth="1"/>
    <col min="4" max="4" width="39.85546875" bestFit="1" customWidth="1"/>
    <col min="5" max="5" width="36.5703125" bestFit="1" customWidth="1"/>
    <col min="6" max="6" width="31.140625" bestFit="1" customWidth="1"/>
    <col min="7" max="7" width="27.140625" bestFit="1" customWidth="1"/>
    <col min="8" max="8" width="31.140625" bestFit="1" customWidth="1"/>
    <col min="9" max="9" width="27.140625" bestFit="1" customWidth="1"/>
    <col min="10" max="10" width="53" bestFit="1" customWidth="1"/>
    <col min="11" max="11" width="56.5703125" bestFit="1" customWidth="1"/>
    <col min="12" max="12" width="58.42578125" bestFit="1" customWidth="1"/>
    <col min="13" max="13" width="53" bestFit="1" customWidth="1"/>
    <col min="14" max="14" width="56.5703125" bestFit="1" customWidth="1"/>
    <col min="15" max="15" width="58.42578125" bestFit="1" customWidth="1"/>
    <col min="16" max="16" width="53" bestFit="1" customWidth="1"/>
    <col min="17" max="17" width="56.5703125" bestFit="1" customWidth="1"/>
    <col min="18" max="18" width="58.42578125" bestFit="1" customWidth="1"/>
    <col min="19" max="19" width="44.7109375" bestFit="1" customWidth="1"/>
    <col min="20" max="20" width="48.140625" bestFit="1" customWidth="1"/>
    <col min="29" max="29" width="53" bestFit="1" customWidth="1"/>
    <col min="30" max="30" width="56.5703125" bestFit="1" customWidth="1"/>
    <col min="31" max="31" width="58.42578125" bestFit="1" customWidth="1"/>
    <col min="32" max="32" width="53" bestFit="1" customWidth="1"/>
    <col min="33" max="33" width="56.5703125" bestFit="1" customWidth="1"/>
    <col min="34" max="34" width="58.42578125" bestFit="1" customWidth="1"/>
    <col min="35" max="35" width="53" bestFit="1" customWidth="1"/>
    <col min="36" max="36" width="56.5703125" bestFit="1" customWidth="1"/>
    <col min="37" max="37" width="58.42578125" bestFit="1" customWidth="1"/>
  </cols>
  <sheetData>
    <row r="1" spans="1:18" ht="15.75" thickBot="1" x14ac:dyDescent="0.3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74</v>
      </c>
      <c r="G1" t="s">
        <v>75</v>
      </c>
      <c r="H1" t="s">
        <v>76</v>
      </c>
      <c r="I1" t="s">
        <v>77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25">
      <c r="A2" s="2" t="s">
        <v>14</v>
      </c>
      <c r="B2" s="2">
        <v>10</v>
      </c>
      <c r="C2" s="2">
        <v>5</v>
      </c>
      <c r="D2" s="2">
        <v>20</v>
      </c>
      <c r="E2" s="2">
        <v>18</v>
      </c>
      <c r="J2" s="2">
        <v>21.84</v>
      </c>
      <c r="K2" s="2">
        <v>37.21</v>
      </c>
      <c r="L2" s="2">
        <v>0</v>
      </c>
    </row>
    <row r="3" spans="1:18" x14ac:dyDescent="0.25">
      <c r="A3" s="2" t="s">
        <v>15</v>
      </c>
      <c r="B3" s="2">
        <v>33</v>
      </c>
      <c r="C3" s="2">
        <v>0</v>
      </c>
      <c r="D3" s="2">
        <v>0</v>
      </c>
      <c r="E3" s="2">
        <v>18</v>
      </c>
      <c r="F3" s="2"/>
      <c r="G3" s="2"/>
      <c r="H3" s="2"/>
      <c r="I3" s="2"/>
      <c r="J3" s="2">
        <v>22.34</v>
      </c>
      <c r="K3" s="2">
        <v>0</v>
      </c>
      <c r="L3" s="2">
        <v>0</v>
      </c>
    </row>
    <row r="4" spans="1:18" x14ac:dyDescent="0.25">
      <c r="A4" s="2" t="s">
        <v>16</v>
      </c>
      <c r="B4" s="2">
        <v>11</v>
      </c>
      <c r="C4" s="2">
        <v>7</v>
      </c>
      <c r="D4" s="2">
        <v>19</v>
      </c>
      <c r="E4" s="2">
        <v>17</v>
      </c>
      <c r="F4" s="2"/>
      <c r="G4" s="2"/>
      <c r="H4" s="2"/>
      <c r="I4" s="2"/>
      <c r="J4" s="2">
        <v>21.22</v>
      </c>
      <c r="K4" s="2">
        <v>43.03</v>
      </c>
      <c r="L4" s="2">
        <v>0</v>
      </c>
    </row>
    <row r="5" spans="1:18" x14ac:dyDescent="0.25">
      <c r="A5" s="2" t="s">
        <v>17</v>
      </c>
      <c r="B5" s="2">
        <v>0</v>
      </c>
      <c r="C5" s="2">
        <v>7</v>
      </c>
      <c r="D5" s="2">
        <v>13</v>
      </c>
      <c r="E5" s="2">
        <v>0</v>
      </c>
      <c r="F5" s="2"/>
      <c r="G5" s="2"/>
      <c r="H5" s="2"/>
      <c r="I5" s="2"/>
      <c r="J5" s="2">
        <v>0</v>
      </c>
      <c r="K5" s="2">
        <v>37.14</v>
      </c>
      <c r="L5" s="2">
        <v>0</v>
      </c>
    </row>
    <row r="6" spans="1:18" x14ac:dyDescent="0.25">
      <c r="A6" s="2" t="s">
        <v>18</v>
      </c>
      <c r="B6" s="2">
        <v>8</v>
      </c>
      <c r="C6" s="2">
        <v>3</v>
      </c>
      <c r="D6" s="2">
        <v>14</v>
      </c>
      <c r="E6" s="2">
        <v>9</v>
      </c>
      <c r="F6" s="2"/>
      <c r="G6" s="2"/>
      <c r="H6" s="2"/>
      <c r="I6" s="2"/>
      <c r="J6" s="2">
        <v>12.68</v>
      </c>
      <c r="K6" s="2">
        <v>29.02</v>
      </c>
      <c r="L6" s="2">
        <v>0</v>
      </c>
    </row>
    <row r="7" spans="1:18" x14ac:dyDescent="0.25">
      <c r="A7" s="2" t="s">
        <v>19</v>
      </c>
      <c r="B7" s="2">
        <v>34</v>
      </c>
      <c r="C7" s="2">
        <v>0</v>
      </c>
      <c r="D7" s="2">
        <v>0</v>
      </c>
      <c r="E7" s="2">
        <v>15</v>
      </c>
      <c r="F7" s="2"/>
      <c r="G7" s="2"/>
      <c r="H7" s="2"/>
      <c r="I7" s="2"/>
      <c r="J7" s="2">
        <v>26.2</v>
      </c>
      <c r="K7" s="2">
        <v>0</v>
      </c>
      <c r="L7" s="2">
        <v>0</v>
      </c>
    </row>
    <row r="8" spans="1:18" x14ac:dyDescent="0.25">
      <c r="A8" s="2" t="s">
        <v>20</v>
      </c>
      <c r="B8" s="2">
        <v>4</v>
      </c>
      <c r="C8" s="2">
        <v>10</v>
      </c>
      <c r="D8" s="2">
        <v>13</v>
      </c>
      <c r="E8" s="2">
        <v>7</v>
      </c>
      <c r="F8" s="2"/>
      <c r="G8" s="2"/>
      <c r="H8" s="2"/>
      <c r="I8" s="2"/>
      <c r="J8" s="2">
        <v>11.26</v>
      </c>
      <c r="K8" s="2">
        <v>31.31</v>
      </c>
      <c r="L8" s="2">
        <v>0</v>
      </c>
    </row>
    <row r="9" spans="1:18" x14ac:dyDescent="0.25">
      <c r="A9" s="2" t="s">
        <v>21</v>
      </c>
      <c r="B9" s="2">
        <v>34</v>
      </c>
      <c r="C9" s="2">
        <v>0</v>
      </c>
      <c r="D9" s="2">
        <v>0</v>
      </c>
      <c r="E9" s="2">
        <v>16</v>
      </c>
      <c r="F9" s="2"/>
      <c r="G9" s="2"/>
      <c r="H9" s="2"/>
      <c r="I9" s="2"/>
      <c r="J9" s="2">
        <v>34.619999999999997</v>
      </c>
      <c r="K9" s="2">
        <v>0</v>
      </c>
      <c r="L9" s="2">
        <v>0</v>
      </c>
    </row>
    <row r="10" spans="1:18" x14ac:dyDescent="0.25">
      <c r="A10" s="2" t="s">
        <v>22</v>
      </c>
      <c r="B10" s="2">
        <v>0</v>
      </c>
      <c r="C10" s="2">
        <v>8</v>
      </c>
      <c r="D10" s="2">
        <v>21</v>
      </c>
      <c r="E10" s="2">
        <v>0</v>
      </c>
      <c r="F10" s="2"/>
      <c r="G10" s="2"/>
      <c r="H10" s="2"/>
      <c r="I10" s="2"/>
      <c r="J10" s="2">
        <v>0</v>
      </c>
      <c r="K10" s="2">
        <v>48.17</v>
      </c>
      <c r="L10" s="2">
        <v>0</v>
      </c>
    </row>
    <row r="11" spans="1:18" x14ac:dyDescent="0.25">
      <c r="A11" s="2" t="s">
        <v>23</v>
      </c>
      <c r="B11" s="2">
        <v>13</v>
      </c>
      <c r="C11" s="2">
        <v>5</v>
      </c>
      <c r="D11" s="2">
        <v>19</v>
      </c>
      <c r="E11" s="2">
        <v>18</v>
      </c>
      <c r="F11" s="2"/>
      <c r="G11" s="2"/>
      <c r="H11" s="2"/>
      <c r="I11" s="2"/>
      <c r="J11" s="2">
        <v>29.51</v>
      </c>
      <c r="K11" s="2">
        <v>33.590000000000003</v>
      </c>
      <c r="L11" s="2">
        <v>0</v>
      </c>
    </row>
    <row r="12" spans="1:18" x14ac:dyDescent="0.25">
      <c r="A12" s="2" t="s">
        <v>24</v>
      </c>
      <c r="B12" s="2">
        <v>10</v>
      </c>
      <c r="C12" s="2">
        <v>10</v>
      </c>
      <c r="D12" s="2">
        <v>21</v>
      </c>
      <c r="E12" s="2">
        <v>19</v>
      </c>
      <c r="F12" s="2"/>
      <c r="G12" s="2"/>
      <c r="H12" s="2"/>
      <c r="I12" s="2"/>
      <c r="J12" s="2">
        <v>7.36</v>
      </c>
      <c r="K12" s="2">
        <v>31.7</v>
      </c>
      <c r="L12" s="2">
        <v>0</v>
      </c>
    </row>
    <row r="13" spans="1:18" x14ac:dyDescent="0.25">
      <c r="A13" s="2" t="s">
        <v>25</v>
      </c>
      <c r="B13" s="2">
        <v>30</v>
      </c>
      <c r="C13" s="2">
        <v>0</v>
      </c>
      <c r="D13" s="2">
        <v>0</v>
      </c>
      <c r="E13" s="2">
        <v>13</v>
      </c>
      <c r="F13" s="2"/>
      <c r="G13" s="2"/>
      <c r="H13" s="2"/>
      <c r="I13" s="2"/>
      <c r="J13" s="2">
        <v>10.75</v>
      </c>
      <c r="K13" s="2">
        <v>0</v>
      </c>
      <c r="L13" s="2">
        <v>0</v>
      </c>
    </row>
    <row r="14" spans="1:18" x14ac:dyDescent="0.25">
      <c r="A14" s="2" t="s">
        <v>26</v>
      </c>
      <c r="B14" s="2">
        <v>8</v>
      </c>
      <c r="C14" s="2">
        <v>4</v>
      </c>
      <c r="D14" s="2">
        <v>18</v>
      </c>
      <c r="E14" s="2">
        <v>15</v>
      </c>
      <c r="F14" s="2"/>
      <c r="G14" s="2"/>
      <c r="H14" s="2"/>
      <c r="I14" s="2"/>
      <c r="J14" s="2">
        <v>1.69</v>
      </c>
      <c r="K14" s="2">
        <v>27.18</v>
      </c>
      <c r="L14" s="2">
        <v>0</v>
      </c>
    </row>
    <row r="15" spans="1:18" x14ac:dyDescent="0.25">
      <c r="A15" s="2" t="s">
        <v>27</v>
      </c>
      <c r="B15" s="2">
        <v>23</v>
      </c>
      <c r="C15" s="2">
        <v>0</v>
      </c>
      <c r="D15" s="2">
        <v>0</v>
      </c>
      <c r="E15" s="2">
        <v>10</v>
      </c>
      <c r="F15" s="2"/>
      <c r="G15" s="2"/>
      <c r="H15" s="2"/>
      <c r="I15" s="2"/>
      <c r="J15" s="2">
        <v>6.38</v>
      </c>
      <c r="K15" s="2">
        <v>0</v>
      </c>
      <c r="L15" s="2">
        <v>0</v>
      </c>
    </row>
    <row r="16" spans="1:18" x14ac:dyDescent="0.25">
      <c r="A16" s="2" t="s">
        <v>28</v>
      </c>
      <c r="B16" s="2">
        <v>12</v>
      </c>
      <c r="C16" s="2">
        <v>5</v>
      </c>
      <c r="D16" s="2">
        <v>23</v>
      </c>
      <c r="E16" s="2">
        <v>11</v>
      </c>
      <c r="F16" s="2"/>
      <c r="G16" s="2"/>
      <c r="H16" s="2"/>
      <c r="I16" s="2"/>
      <c r="J16" s="2">
        <v>1.1000000000000001</v>
      </c>
      <c r="K16" s="2">
        <v>20.23</v>
      </c>
      <c r="L16" s="2">
        <v>0</v>
      </c>
    </row>
    <row r="17" spans="1:15" x14ac:dyDescent="0.25">
      <c r="A17" s="2" t="s">
        <v>29</v>
      </c>
      <c r="B17" s="2">
        <v>7</v>
      </c>
      <c r="C17" s="2">
        <v>4</v>
      </c>
      <c r="D17" s="2">
        <v>19</v>
      </c>
      <c r="E17" s="2">
        <v>16</v>
      </c>
      <c r="F17" s="2"/>
      <c r="G17" s="2"/>
      <c r="H17" s="2"/>
      <c r="I17" s="2"/>
      <c r="J17" s="2">
        <v>3.61</v>
      </c>
      <c r="K17" s="2">
        <v>11.58</v>
      </c>
      <c r="L17" s="2">
        <v>0</v>
      </c>
    </row>
    <row r="18" spans="1:15" x14ac:dyDescent="0.25">
      <c r="A18" s="2" t="s">
        <v>30</v>
      </c>
      <c r="B18" s="2">
        <v>0</v>
      </c>
      <c r="C18" s="2">
        <v>9</v>
      </c>
      <c r="D18" s="2">
        <v>18</v>
      </c>
      <c r="E18" s="2">
        <v>0</v>
      </c>
      <c r="F18" s="2"/>
      <c r="G18" s="2"/>
      <c r="H18" s="2"/>
      <c r="I18" s="2"/>
      <c r="J18" s="2">
        <v>0</v>
      </c>
      <c r="K18" s="2">
        <v>20.53</v>
      </c>
      <c r="L18" s="2">
        <v>0</v>
      </c>
    </row>
    <row r="19" spans="1:15" x14ac:dyDescent="0.25">
      <c r="A19" s="2" t="s">
        <v>31</v>
      </c>
      <c r="B19" s="2">
        <v>0</v>
      </c>
      <c r="C19" s="2">
        <v>11</v>
      </c>
      <c r="D19" s="2">
        <v>18</v>
      </c>
      <c r="E19" s="2">
        <v>0</v>
      </c>
      <c r="F19" s="2"/>
      <c r="G19" s="2"/>
      <c r="H19" s="2"/>
      <c r="I19" s="2"/>
      <c r="J19" s="2">
        <v>0</v>
      </c>
      <c r="K19" s="2">
        <v>31.79</v>
      </c>
      <c r="L19" s="2">
        <v>0</v>
      </c>
    </row>
    <row r="20" spans="1:15" x14ac:dyDescent="0.25">
      <c r="A20" s="2" t="s">
        <v>32</v>
      </c>
      <c r="B20" s="2">
        <v>11</v>
      </c>
      <c r="C20" s="2">
        <v>11</v>
      </c>
      <c r="D20" s="2">
        <v>18</v>
      </c>
      <c r="E20" s="2">
        <v>14</v>
      </c>
      <c r="F20" s="2"/>
      <c r="G20" s="2"/>
      <c r="H20" s="2"/>
      <c r="I20" s="2"/>
      <c r="J20" s="2">
        <v>2.16</v>
      </c>
      <c r="K20" s="2">
        <v>25.75</v>
      </c>
      <c r="L20" s="2">
        <v>0</v>
      </c>
    </row>
    <row r="21" spans="1:15" x14ac:dyDescent="0.25">
      <c r="A21" s="2" t="s">
        <v>33</v>
      </c>
      <c r="B21" s="2">
        <v>0</v>
      </c>
      <c r="C21" s="2">
        <v>14</v>
      </c>
      <c r="D21" s="2">
        <v>18</v>
      </c>
      <c r="E21" s="2">
        <v>0</v>
      </c>
      <c r="F21" s="2"/>
      <c r="G21" s="2"/>
      <c r="H21" s="2"/>
      <c r="I21" s="2"/>
      <c r="J21" s="2">
        <v>0</v>
      </c>
      <c r="K21" s="2">
        <v>35.57</v>
      </c>
      <c r="L21" s="2">
        <v>0</v>
      </c>
    </row>
    <row r="22" spans="1:15" x14ac:dyDescent="0.25">
      <c r="A22" s="2" t="s">
        <v>34</v>
      </c>
      <c r="B22" s="2">
        <v>9</v>
      </c>
      <c r="C22" s="2">
        <v>4</v>
      </c>
      <c r="D22" s="2"/>
      <c r="E22" s="2"/>
      <c r="F22" s="2">
        <v>59</v>
      </c>
      <c r="G22" s="2">
        <v>51</v>
      </c>
      <c r="H22" s="2"/>
      <c r="I22" s="2"/>
      <c r="M22" s="2">
        <v>29.26</v>
      </c>
      <c r="N22" s="2">
        <v>155.63</v>
      </c>
      <c r="O22" s="2">
        <v>0</v>
      </c>
    </row>
    <row r="23" spans="1:15" x14ac:dyDescent="0.25">
      <c r="A23" s="2" t="s">
        <v>35</v>
      </c>
      <c r="B23" s="2">
        <v>35</v>
      </c>
      <c r="C23" s="2">
        <v>0</v>
      </c>
      <c r="D23" s="2"/>
      <c r="E23" s="2"/>
      <c r="F23" s="2">
        <v>0</v>
      </c>
      <c r="G23" s="2">
        <v>47</v>
      </c>
      <c r="H23" s="2"/>
      <c r="I23" s="2"/>
      <c r="M23" s="2">
        <v>162.9</v>
      </c>
      <c r="N23" s="2">
        <v>0</v>
      </c>
      <c r="O23" s="2">
        <v>0</v>
      </c>
    </row>
    <row r="24" spans="1:15" x14ac:dyDescent="0.25">
      <c r="A24" s="2" t="s">
        <v>36</v>
      </c>
      <c r="B24" s="2">
        <v>10</v>
      </c>
      <c r="C24" s="2">
        <v>4</v>
      </c>
      <c r="D24" s="2"/>
      <c r="E24" s="2"/>
      <c r="F24" s="2">
        <v>73</v>
      </c>
      <c r="G24" s="2">
        <v>45</v>
      </c>
      <c r="H24" s="2"/>
      <c r="I24" s="2"/>
      <c r="M24" s="2">
        <v>20.8</v>
      </c>
      <c r="N24" s="2">
        <v>184.43</v>
      </c>
      <c r="O24" s="2">
        <v>0</v>
      </c>
    </row>
    <row r="25" spans="1:15" x14ac:dyDescent="0.25">
      <c r="A25" s="2" t="s">
        <v>37</v>
      </c>
      <c r="B25" s="2">
        <v>0</v>
      </c>
      <c r="C25" s="2">
        <v>10</v>
      </c>
      <c r="D25" s="2"/>
      <c r="E25" s="2"/>
      <c r="F25" s="2">
        <v>53</v>
      </c>
      <c r="G25" s="2">
        <v>0</v>
      </c>
      <c r="H25" s="2"/>
      <c r="I25" s="2"/>
      <c r="M25" s="2">
        <v>0</v>
      </c>
      <c r="N25" s="2">
        <v>87.54</v>
      </c>
      <c r="O25" s="2">
        <v>0</v>
      </c>
    </row>
    <row r="26" spans="1:15" x14ac:dyDescent="0.25">
      <c r="A26" s="2" t="s">
        <v>38</v>
      </c>
      <c r="B26" s="2">
        <v>10</v>
      </c>
      <c r="C26" s="2">
        <v>4</v>
      </c>
      <c r="D26" s="2"/>
      <c r="E26" s="2"/>
      <c r="F26" s="2">
        <v>50</v>
      </c>
      <c r="G26" s="2">
        <v>41</v>
      </c>
      <c r="H26" s="2"/>
      <c r="I26" s="2"/>
      <c r="M26" s="2">
        <v>14.35</v>
      </c>
      <c r="N26" s="2">
        <v>93.87</v>
      </c>
      <c r="O26" s="2">
        <v>0</v>
      </c>
    </row>
    <row r="27" spans="1:15" x14ac:dyDescent="0.25">
      <c r="A27" s="2" t="s">
        <v>39</v>
      </c>
      <c r="B27" s="2">
        <v>24</v>
      </c>
      <c r="C27" s="2">
        <v>0</v>
      </c>
      <c r="D27" s="2"/>
      <c r="E27" s="2"/>
      <c r="F27" s="2">
        <v>0</v>
      </c>
      <c r="G27" s="2">
        <v>50</v>
      </c>
      <c r="H27" s="2"/>
      <c r="I27" s="2"/>
      <c r="M27" s="2">
        <v>111.24</v>
      </c>
      <c r="N27" s="2">
        <v>0</v>
      </c>
      <c r="O27" s="2">
        <v>0</v>
      </c>
    </row>
    <row r="28" spans="1:15" x14ac:dyDescent="0.25">
      <c r="A28" s="2" t="s">
        <v>40</v>
      </c>
      <c r="B28" s="2">
        <v>8</v>
      </c>
      <c r="C28" s="2">
        <v>2</v>
      </c>
      <c r="D28" s="2"/>
      <c r="E28" s="2"/>
      <c r="F28" s="2">
        <v>60</v>
      </c>
      <c r="G28" s="2">
        <v>37</v>
      </c>
      <c r="H28" s="2"/>
      <c r="I28" s="2"/>
      <c r="M28" s="2">
        <v>0.68</v>
      </c>
      <c r="N28" s="2">
        <v>78.489999999999995</v>
      </c>
      <c r="O28" s="2">
        <v>0</v>
      </c>
    </row>
    <row r="29" spans="1:15" x14ac:dyDescent="0.25">
      <c r="A29" s="2" t="s">
        <v>41</v>
      </c>
      <c r="B29" s="2">
        <v>32</v>
      </c>
      <c r="C29" s="2">
        <v>0</v>
      </c>
      <c r="D29" s="2"/>
      <c r="E29" s="2"/>
      <c r="F29" s="2">
        <v>0</v>
      </c>
      <c r="G29" s="2">
        <v>33</v>
      </c>
      <c r="H29" s="2"/>
      <c r="I29" s="2"/>
      <c r="M29" s="2">
        <v>151.5</v>
      </c>
      <c r="N29" s="2">
        <v>0</v>
      </c>
      <c r="O29" s="2">
        <v>0</v>
      </c>
    </row>
    <row r="30" spans="1:15" x14ac:dyDescent="0.25">
      <c r="A30" s="2" t="s">
        <v>42</v>
      </c>
      <c r="B30" s="2">
        <v>0</v>
      </c>
      <c r="C30" s="2">
        <v>12</v>
      </c>
      <c r="D30" s="2"/>
      <c r="E30" s="2"/>
      <c r="F30" s="2">
        <v>72</v>
      </c>
      <c r="G30" s="2">
        <v>0</v>
      </c>
      <c r="H30" s="2"/>
      <c r="I30" s="2"/>
      <c r="M30" s="2">
        <v>0</v>
      </c>
      <c r="N30" s="2">
        <v>101.67</v>
      </c>
      <c r="O30" s="2">
        <v>0</v>
      </c>
    </row>
    <row r="31" spans="1:15" x14ac:dyDescent="0.25">
      <c r="A31" s="2" t="s">
        <v>43</v>
      </c>
      <c r="B31" s="2">
        <v>7</v>
      </c>
      <c r="C31" s="2">
        <v>8</v>
      </c>
      <c r="D31" s="2"/>
      <c r="E31" s="2"/>
      <c r="F31" s="2">
        <v>62</v>
      </c>
      <c r="G31" s="2">
        <v>50</v>
      </c>
      <c r="H31" s="2"/>
      <c r="I31" s="2"/>
      <c r="M31" s="2">
        <v>58.86</v>
      </c>
      <c r="N31" s="2">
        <v>134.6</v>
      </c>
      <c r="O31" s="2">
        <v>0</v>
      </c>
    </row>
    <row r="32" spans="1:15" x14ac:dyDescent="0.25">
      <c r="A32" s="2" t="s">
        <v>44</v>
      </c>
      <c r="B32" s="2">
        <v>16</v>
      </c>
      <c r="C32" s="2">
        <v>7</v>
      </c>
      <c r="D32" s="2"/>
      <c r="E32" s="2"/>
      <c r="F32" s="2">
        <v>61</v>
      </c>
      <c r="G32" s="2">
        <v>51</v>
      </c>
      <c r="H32" s="2"/>
      <c r="I32" s="2"/>
      <c r="M32" s="2">
        <v>40.51</v>
      </c>
      <c r="N32" s="2">
        <v>200.6</v>
      </c>
      <c r="O32" s="2">
        <v>0</v>
      </c>
    </row>
    <row r="33" spans="1:18" x14ac:dyDescent="0.25">
      <c r="A33" s="2" t="s">
        <v>45</v>
      </c>
      <c r="B33" s="2">
        <v>24</v>
      </c>
      <c r="C33" s="2">
        <v>0</v>
      </c>
      <c r="D33" s="2"/>
      <c r="E33" s="2"/>
      <c r="F33" s="2">
        <v>0</v>
      </c>
      <c r="G33" s="2">
        <v>51</v>
      </c>
      <c r="H33" s="2"/>
      <c r="I33" s="2"/>
      <c r="M33" s="2">
        <v>174.86</v>
      </c>
      <c r="N33" s="2">
        <v>0</v>
      </c>
      <c r="O33" s="2">
        <v>0</v>
      </c>
    </row>
    <row r="34" spans="1:18" x14ac:dyDescent="0.25">
      <c r="A34" s="2" t="s">
        <v>46</v>
      </c>
      <c r="B34" s="2">
        <v>9</v>
      </c>
      <c r="C34" s="2">
        <v>8</v>
      </c>
      <c r="D34" s="2"/>
      <c r="E34" s="2"/>
      <c r="F34" s="2">
        <v>57</v>
      </c>
      <c r="G34" s="2">
        <v>38</v>
      </c>
      <c r="H34" s="2"/>
      <c r="I34" s="2"/>
      <c r="M34" s="2">
        <v>5</v>
      </c>
      <c r="N34" s="2">
        <v>130.33000000000001</v>
      </c>
      <c r="O34" s="2">
        <v>0</v>
      </c>
    </row>
    <row r="35" spans="1:18" x14ac:dyDescent="0.25">
      <c r="A35" s="2" t="s">
        <v>47</v>
      </c>
      <c r="B35" s="2">
        <v>23</v>
      </c>
      <c r="C35" s="2">
        <v>0</v>
      </c>
      <c r="D35" s="2"/>
      <c r="E35" s="2"/>
      <c r="F35" s="2">
        <v>0</v>
      </c>
      <c r="G35" s="2">
        <v>55</v>
      </c>
      <c r="H35" s="2"/>
      <c r="I35" s="2"/>
      <c r="M35" s="2">
        <v>153.78</v>
      </c>
      <c r="N35" s="2">
        <v>0</v>
      </c>
      <c r="O35" s="2">
        <v>0</v>
      </c>
    </row>
    <row r="36" spans="1:18" x14ac:dyDescent="0.25">
      <c r="A36" s="2" t="s">
        <v>48</v>
      </c>
      <c r="B36" s="2">
        <v>17</v>
      </c>
      <c r="C36" s="2">
        <v>5</v>
      </c>
      <c r="D36" s="2"/>
      <c r="E36" s="2"/>
      <c r="F36" s="2">
        <v>56</v>
      </c>
      <c r="G36" s="2">
        <v>56</v>
      </c>
      <c r="H36" s="2"/>
      <c r="I36" s="2"/>
      <c r="M36" s="2">
        <v>43.06</v>
      </c>
      <c r="N36" s="2">
        <v>100.65</v>
      </c>
      <c r="O36" s="2">
        <v>0</v>
      </c>
    </row>
    <row r="37" spans="1:18" x14ac:dyDescent="0.25">
      <c r="A37" s="2" t="s">
        <v>49</v>
      </c>
      <c r="B37" s="2">
        <v>6</v>
      </c>
      <c r="C37" s="2">
        <v>5</v>
      </c>
      <c r="D37" s="2"/>
      <c r="E37" s="2"/>
      <c r="F37" s="2">
        <v>57</v>
      </c>
      <c r="G37" s="2">
        <v>49</v>
      </c>
      <c r="H37" s="2"/>
      <c r="I37" s="2"/>
      <c r="M37" s="2">
        <v>78.36</v>
      </c>
      <c r="N37" s="2">
        <v>98.6</v>
      </c>
      <c r="O37" s="2">
        <v>0</v>
      </c>
    </row>
    <row r="38" spans="1:18" x14ac:dyDescent="0.25">
      <c r="A38" s="2" t="s">
        <v>50</v>
      </c>
      <c r="B38" s="2">
        <v>0</v>
      </c>
      <c r="C38" s="2">
        <v>7</v>
      </c>
      <c r="D38" s="2"/>
      <c r="E38" s="2"/>
      <c r="F38" s="2">
        <v>61</v>
      </c>
      <c r="G38" s="2">
        <v>0</v>
      </c>
      <c r="H38" s="2"/>
      <c r="I38" s="2"/>
      <c r="M38" s="2">
        <v>0</v>
      </c>
      <c r="N38" s="2">
        <v>129.88</v>
      </c>
      <c r="O38" s="2">
        <v>0</v>
      </c>
    </row>
    <row r="39" spans="1:18" x14ac:dyDescent="0.25">
      <c r="A39" s="2" t="s">
        <v>51</v>
      </c>
      <c r="B39" s="2">
        <v>0</v>
      </c>
      <c r="C39" s="2">
        <v>11</v>
      </c>
      <c r="D39" s="2"/>
      <c r="E39" s="2"/>
      <c r="F39" s="2">
        <v>53</v>
      </c>
      <c r="G39" s="2">
        <v>0</v>
      </c>
      <c r="H39" s="2"/>
      <c r="I39" s="2"/>
      <c r="M39" s="2">
        <v>0</v>
      </c>
      <c r="N39" s="2">
        <v>94.93</v>
      </c>
      <c r="O39" s="2">
        <v>0</v>
      </c>
    </row>
    <row r="40" spans="1:18" x14ac:dyDescent="0.25">
      <c r="A40" s="2" t="s">
        <v>52</v>
      </c>
      <c r="B40" s="2">
        <v>5</v>
      </c>
      <c r="C40" s="2">
        <v>8</v>
      </c>
      <c r="D40" s="2"/>
      <c r="E40" s="2"/>
      <c r="F40" s="2">
        <v>44</v>
      </c>
      <c r="G40" s="2">
        <v>34</v>
      </c>
      <c r="H40" s="2"/>
      <c r="I40" s="2"/>
      <c r="M40" s="2">
        <v>4.8499999999999996</v>
      </c>
      <c r="N40" s="2">
        <v>81.59</v>
      </c>
      <c r="O40" s="2">
        <v>0</v>
      </c>
    </row>
    <row r="41" spans="1:18" x14ac:dyDescent="0.25">
      <c r="A41" s="2" t="s">
        <v>53</v>
      </c>
      <c r="B41" s="2">
        <v>0</v>
      </c>
      <c r="C41" s="2">
        <v>8</v>
      </c>
      <c r="D41" s="2"/>
      <c r="E41" s="2"/>
      <c r="F41" s="2">
        <v>60</v>
      </c>
      <c r="G41" s="2">
        <v>0</v>
      </c>
      <c r="H41" s="2"/>
      <c r="I41" s="2"/>
      <c r="M41" s="2">
        <v>0</v>
      </c>
      <c r="N41" s="2">
        <v>140.36000000000001</v>
      </c>
      <c r="O41" s="2">
        <v>0</v>
      </c>
    </row>
    <row r="42" spans="1:18" x14ac:dyDescent="0.25">
      <c r="A42" s="2" t="s">
        <v>54</v>
      </c>
      <c r="B42" s="2">
        <v>8</v>
      </c>
      <c r="C42" s="2">
        <v>6</v>
      </c>
      <c r="D42" s="2"/>
      <c r="E42" s="2"/>
      <c r="F42" s="2"/>
      <c r="G42" s="2"/>
      <c r="H42" s="2">
        <v>77</v>
      </c>
      <c r="I42" s="2">
        <v>90</v>
      </c>
      <c r="P42" s="2">
        <v>58.63</v>
      </c>
      <c r="Q42" s="2">
        <v>314.58</v>
      </c>
      <c r="R42" s="2">
        <v>0</v>
      </c>
    </row>
    <row r="43" spans="1:18" x14ac:dyDescent="0.25">
      <c r="A43" s="2" t="s">
        <v>55</v>
      </c>
      <c r="B43" s="2">
        <v>27</v>
      </c>
      <c r="C43" s="2">
        <v>0</v>
      </c>
      <c r="D43" s="2"/>
      <c r="E43" s="2"/>
      <c r="F43" s="2"/>
      <c r="G43" s="2"/>
      <c r="H43" s="2">
        <v>0</v>
      </c>
      <c r="I43" s="2">
        <v>92</v>
      </c>
      <c r="P43" s="2">
        <v>371.93</v>
      </c>
      <c r="Q43" s="2">
        <v>0</v>
      </c>
      <c r="R43" s="2">
        <v>0</v>
      </c>
    </row>
    <row r="44" spans="1:18" x14ac:dyDescent="0.25">
      <c r="A44" s="2" t="s">
        <v>56</v>
      </c>
      <c r="B44" s="2">
        <v>5</v>
      </c>
      <c r="C44" s="2">
        <v>6</v>
      </c>
      <c r="D44" s="2"/>
      <c r="E44" s="2"/>
      <c r="F44" s="2"/>
      <c r="G44" s="2"/>
      <c r="H44" s="2">
        <v>76</v>
      </c>
      <c r="I44" s="2">
        <v>86</v>
      </c>
      <c r="P44" s="2">
        <v>79.16</v>
      </c>
      <c r="Q44" s="2">
        <v>375.01</v>
      </c>
      <c r="R44" s="2">
        <v>0</v>
      </c>
    </row>
    <row r="45" spans="1:18" x14ac:dyDescent="0.25">
      <c r="A45" s="2" t="s">
        <v>57</v>
      </c>
      <c r="B45" s="2">
        <v>0</v>
      </c>
      <c r="C45" s="2">
        <v>12</v>
      </c>
      <c r="D45" s="2"/>
      <c r="E45" s="2"/>
      <c r="F45" s="2"/>
      <c r="G45" s="2"/>
      <c r="H45" s="2">
        <v>79</v>
      </c>
      <c r="I45" s="2">
        <v>0</v>
      </c>
      <c r="P45" s="2">
        <v>0</v>
      </c>
      <c r="Q45" s="2">
        <v>384.19</v>
      </c>
      <c r="R45" s="2">
        <v>0</v>
      </c>
    </row>
    <row r="46" spans="1:18" x14ac:dyDescent="0.25">
      <c r="A46" s="2" t="s">
        <v>58</v>
      </c>
      <c r="B46" s="2">
        <v>9</v>
      </c>
      <c r="C46" s="2">
        <v>8</v>
      </c>
      <c r="D46" s="2"/>
      <c r="E46" s="2"/>
      <c r="F46" s="2"/>
      <c r="G46" s="2"/>
      <c r="H46" s="2">
        <v>79</v>
      </c>
      <c r="I46" s="2">
        <v>79</v>
      </c>
      <c r="P46" s="2">
        <v>13.85</v>
      </c>
      <c r="Q46" s="2">
        <v>451.44</v>
      </c>
      <c r="R46" s="2">
        <v>0</v>
      </c>
    </row>
    <row r="47" spans="1:18" x14ac:dyDescent="0.25">
      <c r="A47" s="2" t="s">
        <v>59</v>
      </c>
      <c r="B47" s="2">
        <v>32</v>
      </c>
      <c r="C47" s="2">
        <v>0</v>
      </c>
      <c r="D47" s="2"/>
      <c r="E47" s="2"/>
      <c r="F47" s="2"/>
      <c r="G47" s="2"/>
      <c r="H47" s="2">
        <v>0</v>
      </c>
      <c r="I47" s="2">
        <v>86</v>
      </c>
      <c r="P47" s="2">
        <v>444.77</v>
      </c>
      <c r="Q47" s="2">
        <v>0</v>
      </c>
      <c r="R47" s="2">
        <v>0</v>
      </c>
    </row>
    <row r="48" spans="1:18" x14ac:dyDescent="0.25">
      <c r="A48" s="2" t="s">
        <v>60</v>
      </c>
      <c r="B48" s="2">
        <v>16</v>
      </c>
      <c r="C48" s="2">
        <v>6</v>
      </c>
      <c r="D48" s="2"/>
      <c r="E48" s="2"/>
      <c r="F48" s="2"/>
      <c r="G48" s="2"/>
      <c r="H48" s="2">
        <v>74</v>
      </c>
      <c r="I48" s="2">
        <v>20</v>
      </c>
      <c r="P48" s="2">
        <v>1.1499999999999999</v>
      </c>
      <c r="Q48" s="2">
        <v>419.39</v>
      </c>
      <c r="R48" s="2">
        <v>0</v>
      </c>
    </row>
    <row r="49" spans="1:18" x14ac:dyDescent="0.25">
      <c r="A49" s="2" t="s">
        <v>61</v>
      </c>
      <c r="B49" s="2">
        <v>17</v>
      </c>
      <c r="C49" s="2">
        <v>0</v>
      </c>
      <c r="D49" s="2"/>
      <c r="E49" s="2"/>
      <c r="F49" s="2"/>
      <c r="G49" s="2"/>
      <c r="H49" s="2">
        <v>0</v>
      </c>
      <c r="I49" s="2">
        <v>94</v>
      </c>
      <c r="P49" s="2">
        <v>401.96</v>
      </c>
      <c r="Q49" s="2">
        <v>0</v>
      </c>
      <c r="R49" s="2">
        <v>0</v>
      </c>
    </row>
    <row r="50" spans="1:18" x14ac:dyDescent="0.25">
      <c r="A50" s="2" t="s">
        <v>62</v>
      </c>
      <c r="B50" s="2">
        <v>0</v>
      </c>
      <c r="C50" s="2">
        <v>11</v>
      </c>
      <c r="D50" s="2"/>
      <c r="E50" s="2"/>
      <c r="F50" s="2"/>
      <c r="G50" s="2"/>
      <c r="H50" s="2">
        <v>61</v>
      </c>
      <c r="I50" s="2">
        <v>0</v>
      </c>
      <c r="P50" s="2">
        <v>0</v>
      </c>
      <c r="Q50" s="2">
        <v>366.33</v>
      </c>
      <c r="R50" s="2">
        <v>0</v>
      </c>
    </row>
    <row r="51" spans="1:18" x14ac:dyDescent="0.25">
      <c r="A51" s="2" t="s">
        <v>63</v>
      </c>
      <c r="B51" s="2">
        <v>10</v>
      </c>
      <c r="C51" s="2">
        <v>9</v>
      </c>
      <c r="D51" s="2"/>
      <c r="E51" s="2"/>
      <c r="F51" s="2"/>
      <c r="G51" s="2"/>
      <c r="H51" s="2">
        <v>62</v>
      </c>
      <c r="I51" s="2">
        <v>101</v>
      </c>
      <c r="P51" s="2">
        <v>180.4</v>
      </c>
      <c r="Q51" s="2">
        <v>150.21</v>
      </c>
      <c r="R51" s="2">
        <v>0</v>
      </c>
    </row>
    <row r="52" spans="1:18" x14ac:dyDescent="0.25">
      <c r="A52" s="2" t="s">
        <v>64</v>
      </c>
      <c r="B52" s="2">
        <v>13</v>
      </c>
      <c r="C52" s="2">
        <v>4</v>
      </c>
      <c r="D52" s="2"/>
      <c r="E52" s="2"/>
      <c r="F52" s="2"/>
      <c r="G52" s="2"/>
      <c r="H52" s="2">
        <v>72</v>
      </c>
      <c r="I52" s="2">
        <v>94</v>
      </c>
      <c r="P52" s="2">
        <v>206.44</v>
      </c>
      <c r="Q52" s="2">
        <v>154.16</v>
      </c>
      <c r="R52" s="2">
        <v>0</v>
      </c>
    </row>
    <row r="53" spans="1:18" x14ac:dyDescent="0.25">
      <c r="A53" s="2" t="s">
        <v>65</v>
      </c>
      <c r="B53" s="2">
        <v>27</v>
      </c>
      <c r="C53" s="2">
        <v>0</v>
      </c>
      <c r="D53" s="2"/>
      <c r="E53" s="2"/>
      <c r="F53" s="2"/>
      <c r="G53" s="2"/>
      <c r="H53" s="2">
        <v>0</v>
      </c>
      <c r="I53" s="2">
        <v>80</v>
      </c>
      <c r="P53" s="2">
        <v>78.52</v>
      </c>
      <c r="Q53" s="2">
        <v>0</v>
      </c>
      <c r="R53" s="2">
        <v>0</v>
      </c>
    </row>
    <row r="54" spans="1:18" x14ac:dyDescent="0.25">
      <c r="A54" s="2" t="s">
        <v>66</v>
      </c>
      <c r="B54" s="2">
        <v>14</v>
      </c>
      <c r="C54" s="2">
        <v>9</v>
      </c>
      <c r="D54" s="2"/>
      <c r="E54" s="2"/>
      <c r="F54" s="2"/>
      <c r="G54" s="2"/>
      <c r="H54" s="2">
        <v>64</v>
      </c>
      <c r="I54" s="2">
        <v>90</v>
      </c>
      <c r="P54" s="2">
        <v>8.82</v>
      </c>
      <c r="Q54" s="2">
        <v>231.69</v>
      </c>
      <c r="R54" s="2">
        <v>0</v>
      </c>
    </row>
    <row r="55" spans="1:18" x14ac:dyDescent="0.25">
      <c r="A55" s="2" t="s">
        <v>67</v>
      </c>
      <c r="B55" s="2">
        <v>37</v>
      </c>
      <c r="C55" s="2">
        <v>0</v>
      </c>
      <c r="D55" s="2"/>
      <c r="E55" s="2"/>
      <c r="F55" s="2"/>
      <c r="G55" s="2"/>
      <c r="H55" s="2">
        <v>0</v>
      </c>
      <c r="I55" s="2">
        <v>98</v>
      </c>
      <c r="P55" s="2">
        <f>205.31+175.14</f>
        <v>380.45</v>
      </c>
      <c r="Q55" s="2">
        <v>0</v>
      </c>
      <c r="R55" s="2">
        <v>0</v>
      </c>
    </row>
    <row r="56" spans="1:18" x14ac:dyDescent="0.25">
      <c r="A56" s="2" t="s">
        <v>68</v>
      </c>
      <c r="B56" s="2">
        <v>11</v>
      </c>
      <c r="C56" s="2">
        <v>9</v>
      </c>
      <c r="D56" s="2"/>
      <c r="E56" s="2"/>
      <c r="F56" s="2"/>
      <c r="G56" s="2"/>
      <c r="H56" s="2">
        <v>87</v>
      </c>
      <c r="I56" s="2">
        <v>95</v>
      </c>
      <c r="P56" s="2">
        <v>77.760000000000005</v>
      </c>
      <c r="Q56" s="2">
        <v>251.93</v>
      </c>
      <c r="R56" s="2">
        <v>0</v>
      </c>
    </row>
    <row r="57" spans="1:18" x14ac:dyDescent="0.25">
      <c r="A57" s="2" t="s">
        <v>69</v>
      </c>
      <c r="B57" s="2">
        <v>13</v>
      </c>
      <c r="C57" s="2">
        <v>9</v>
      </c>
      <c r="D57" s="2"/>
      <c r="E57" s="2"/>
      <c r="F57" s="2"/>
      <c r="G57" s="2"/>
      <c r="H57" s="2">
        <v>72</v>
      </c>
      <c r="I57" s="2">
        <v>81</v>
      </c>
      <c r="P57" s="2">
        <v>169.54</v>
      </c>
      <c r="Q57" s="2">
        <v>130.66</v>
      </c>
      <c r="R57" s="2">
        <v>0</v>
      </c>
    </row>
    <row r="58" spans="1:18" x14ac:dyDescent="0.25">
      <c r="A58" s="2" t="s">
        <v>70</v>
      </c>
      <c r="B58" s="2">
        <v>0</v>
      </c>
      <c r="C58" s="2">
        <v>9</v>
      </c>
      <c r="D58" s="2"/>
      <c r="E58" s="2"/>
      <c r="F58" s="2"/>
      <c r="G58" s="2"/>
      <c r="H58" s="2">
        <v>62</v>
      </c>
      <c r="I58" s="2">
        <v>0</v>
      </c>
      <c r="P58" s="2">
        <v>0</v>
      </c>
      <c r="Q58" s="2">
        <f>165.76+68.88</f>
        <v>234.64</v>
      </c>
      <c r="R58" s="2">
        <v>0</v>
      </c>
    </row>
    <row r="59" spans="1:18" x14ac:dyDescent="0.25">
      <c r="A59" s="2" t="s">
        <v>71</v>
      </c>
      <c r="B59" s="2">
        <v>0</v>
      </c>
      <c r="C59" s="2">
        <v>10</v>
      </c>
      <c r="D59" s="2"/>
      <c r="E59" s="2"/>
      <c r="F59" s="2"/>
      <c r="G59" s="2"/>
      <c r="H59" s="2">
        <v>59</v>
      </c>
      <c r="I59" s="2">
        <v>0</v>
      </c>
      <c r="P59" s="2">
        <v>0</v>
      </c>
      <c r="Q59" s="2">
        <v>237.31</v>
      </c>
      <c r="R59" s="2">
        <v>0</v>
      </c>
    </row>
    <row r="60" spans="1:18" x14ac:dyDescent="0.25">
      <c r="A60" s="2" t="s">
        <v>72</v>
      </c>
      <c r="B60" s="2">
        <v>14</v>
      </c>
      <c r="C60" s="2">
        <v>4</v>
      </c>
      <c r="D60" s="2"/>
      <c r="E60" s="2"/>
      <c r="F60" s="2"/>
      <c r="G60" s="2"/>
      <c r="H60" s="2">
        <v>61</v>
      </c>
      <c r="I60" s="2">
        <v>80</v>
      </c>
      <c r="P60" s="2">
        <v>67.8</v>
      </c>
      <c r="Q60" s="2">
        <v>199.87</v>
      </c>
      <c r="R60" s="2">
        <v>0</v>
      </c>
    </row>
    <row r="61" spans="1:18" x14ac:dyDescent="0.25">
      <c r="A61" s="2" t="s">
        <v>73</v>
      </c>
      <c r="B61" s="2">
        <v>0</v>
      </c>
      <c r="C61" s="2">
        <v>10</v>
      </c>
      <c r="D61" s="2"/>
      <c r="E61" s="2"/>
      <c r="F61" s="2"/>
      <c r="G61" s="2"/>
      <c r="H61" s="2">
        <v>54</v>
      </c>
      <c r="I61" s="2">
        <v>0</v>
      </c>
      <c r="P61" s="2">
        <v>0</v>
      </c>
      <c r="Q61" s="2">
        <v>164.27</v>
      </c>
      <c r="R6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2025-09-04T15:30:38Z</dcterms:created>
  <dcterms:modified xsi:type="dcterms:W3CDTF">2025-09-04T15:37:11Z</dcterms:modified>
</cp:coreProperties>
</file>